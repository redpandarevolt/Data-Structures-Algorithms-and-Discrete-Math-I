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cela/CSS342/Lab3/"/>
    </mc:Choice>
  </mc:AlternateContent>
  <xr:revisionPtr revIDLastSave="0" documentId="13_ncr:1_{55861B54-0D86-5D41-809B-A2E87876A2C3}" xr6:coauthVersionLast="34" xr6:coauthVersionMax="34" xr10:uidLastSave="{00000000-0000-0000-0000-000000000000}"/>
  <bookViews>
    <workbookView xWindow="1780" yWindow="460" windowWidth="23140" windowHeight="14180" xr2:uid="{00000000-000D-0000-FFFF-FFFF00000000}"/>
  </bookViews>
  <sheets>
    <sheet name="Lab 3 comparison doc" sheetId="1" r:id="rId1"/>
  </sheets>
  <calcPr calcId="179021"/>
</workbook>
</file>

<file path=xl/calcChain.xml><?xml version="1.0" encoding="utf-8"?>
<calcChain xmlns="http://schemas.openxmlformats.org/spreadsheetml/2006/main">
  <c r="N3" i="1" l="1"/>
  <c r="O3" i="1"/>
  <c r="P3" i="1"/>
  <c r="N4" i="1"/>
  <c r="O4" i="1"/>
  <c r="P4" i="1"/>
  <c r="N5" i="1"/>
  <c r="O5" i="1"/>
  <c r="P5" i="1"/>
  <c r="N6" i="1"/>
  <c r="O6" i="1"/>
  <c r="P6" i="1"/>
  <c r="N7" i="1"/>
  <c r="O7" i="1"/>
  <c r="P7" i="1"/>
  <c r="N8" i="1"/>
  <c r="O8" i="1"/>
  <c r="P8" i="1"/>
  <c r="N9" i="1"/>
  <c r="O9" i="1"/>
  <c r="P9" i="1"/>
  <c r="N10" i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N52" i="1"/>
  <c r="O52" i="1"/>
  <c r="P52" i="1"/>
  <c r="N53" i="1"/>
  <c r="O53" i="1"/>
  <c r="P53" i="1"/>
  <c r="N54" i="1"/>
  <c r="O54" i="1"/>
  <c r="P54" i="1"/>
  <c r="N55" i="1"/>
  <c r="O55" i="1"/>
  <c r="P55" i="1"/>
  <c r="N56" i="1"/>
  <c r="O56" i="1"/>
  <c r="P56" i="1"/>
  <c r="N57" i="1"/>
  <c r="O57" i="1"/>
  <c r="P57" i="1"/>
  <c r="N58" i="1"/>
  <c r="O58" i="1"/>
  <c r="P58" i="1"/>
  <c r="N59" i="1"/>
  <c r="O59" i="1"/>
  <c r="P59" i="1"/>
  <c r="N60" i="1"/>
  <c r="O60" i="1"/>
  <c r="P60" i="1"/>
  <c r="N61" i="1"/>
  <c r="O61" i="1"/>
  <c r="P61" i="1"/>
  <c r="N62" i="1"/>
  <c r="O62" i="1"/>
  <c r="P62" i="1"/>
  <c r="N63" i="1"/>
  <c r="O63" i="1"/>
  <c r="P63" i="1"/>
  <c r="N64" i="1"/>
  <c r="O64" i="1"/>
  <c r="P64" i="1"/>
  <c r="N65" i="1"/>
  <c r="O65" i="1"/>
  <c r="P65" i="1"/>
  <c r="N66" i="1"/>
  <c r="O66" i="1"/>
  <c r="P66" i="1"/>
  <c r="N67" i="1"/>
  <c r="O67" i="1"/>
  <c r="P67" i="1"/>
  <c r="N68" i="1"/>
  <c r="O68" i="1"/>
  <c r="P68" i="1"/>
  <c r="N69" i="1"/>
  <c r="O69" i="1"/>
  <c r="P69" i="1"/>
  <c r="N70" i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N80" i="1"/>
  <c r="O80" i="1"/>
  <c r="P80" i="1"/>
  <c r="N81" i="1"/>
  <c r="O81" i="1"/>
  <c r="P81" i="1"/>
  <c r="N82" i="1"/>
  <c r="O82" i="1"/>
  <c r="P82" i="1"/>
  <c r="N83" i="1"/>
  <c r="O83" i="1"/>
  <c r="P83" i="1"/>
  <c r="N84" i="1"/>
  <c r="O84" i="1"/>
  <c r="P84" i="1"/>
  <c r="N85" i="1"/>
  <c r="O85" i="1"/>
  <c r="P85" i="1"/>
  <c r="N86" i="1"/>
  <c r="O86" i="1"/>
  <c r="P86" i="1"/>
  <c r="N87" i="1"/>
  <c r="O87" i="1"/>
  <c r="P87" i="1"/>
  <c r="N88" i="1"/>
  <c r="O88" i="1"/>
  <c r="P88" i="1"/>
  <c r="N89" i="1"/>
  <c r="O89" i="1"/>
  <c r="P89" i="1"/>
  <c r="N90" i="1"/>
  <c r="O90" i="1"/>
  <c r="P90" i="1"/>
  <c r="N91" i="1"/>
  <c r="O91" i="1"/>
  <c r="P91" i="1"/>
  <c r="N92" i="1"/>
  <c r="O92" i="1"/>
  <c r="P92" i="1"/>
  <c r="N93" i="1"/>
  <c r="O93" i="1"/>
  <c r="P93" i="1"/>
  <c r="N94" i="1"/>
  <c r="O94" i="1"/>
  <c r="P94" i="1"/>
  <c r="N95" i="1"/>
  <c r="O95" i="1"/>
  <c r="P95" i="1"/>
  <c r="N96" i="1"/>
  <c r="O96" i="1"/>
  <c r="P96" i="1"/>
  <c r="N97" i="1"/>
  <c r="O97" i="1"/>
  <c r="P97" i="1"/>
  <c r="N98" i="1"/>
  <c r="O98" i="1"/>
  <c r="P98" i="1"/>
  <c r="N99" i="1"/>
  <c r="O99" i="1"/>
  <c r="P99" i="1"/>
  <c r="N100" i="1"/>
  <c r="O100" i="1"/>
  <c r="P100" i="1"/>
  <c r="N101" i="1"/>
  <c r="O101" i="1"/>
  <c r="P101" i="1"/>
  <c r="N102" i="1"/>
  <c r="O102" i="1"/>
  <c r="P102" i="1"/>
  <c r="N103" i="1"/>
  <c r="O103" i="1"/>
  <c r="P103" i="1"/>
  <c r="N104" i="1"/>
  <c r="O104" i="1"/>
  <c r="P104" i="1"/>
  <c r="N105" i="1"/>
  <c r="O105" i="1"/>
  <c r="P105" i="1"/>
  <c r="N106" i="1"/>
  <c r="O106" i="1"/>
  <c r="P106" i="1"/>
  <c r="N107" i="1"/>
  <c r="O107" i="1"/>
  <c r="P107" i="1"/>
  <c r="N108" i="1"/>
  <c r="O108" i="1"/>
  <c r="P108" i="1"/>
  <c r="N109" i="1"/>
  <c r="O109" i="1"/>
  <c r="P109" i="1"/>
  <c r="N110" i="1"/>
  <c r="O110" i="1"/>
  <c r="P110" i="1"/>
  <c r="N111" i="1"/>
  <c r="O111" i="1"/>
  <c r="P111" i="1"/>
  <c r="N112" i="1"/>
  <c r="O112" i="1"/>
  <c r="P112" i="1"/>
  <c r="N113" i="1"/>
  <c r="O113" i="1"/>
  <c r="P113" i="1"/>
  <c r="N114" i="1"/>
  <c r="O114" i="1"/>
  <c r="P114" i="1"/>
  <c r="N115" i="1"/>
  <c r="O115" i="1"/>
  <c r="P115" i="1"/>
  <c r="N116" i="1"/>
  <c r="O116" i="1"/>
  <c r="P116" i="1"/>
  <c r="N117" i="1"/>
  <c r="O117" i="1"/>
  <c r="P117" i="1"/>
  <c r="N118" i="1"/>
  <c r="O118" i="1"/>
  <c r="P118" i="1"/>
  <c r="N119" i="1"/>
  <c r="O119" i="1"/>
  <c r="P119" i="1"/>
  <c r="N120" i="1"/>
  <c r="O120" i="1"/>
  <c r="P120" i="1"/>
  <c r="N121" i="1"/>
  <c r="O121" i="1"/>
  <c r="P121" i="1"/>
  <c r="N122" i="1"/>
  <c r="O122" i="1"/>
  <c r="P122" i="1"/>
  <c r="N123" i="1"/>
  <c r="O123" i="1"/>
  <c r="P123" i="1"/>
  <c r="N124" i="1"/>
  <c r="O124" i="1"/>
  <c r="P124" i="1"/>
  <c r="N125" i="1"/>
  <c r="O125" i="1"/>
  <c r="P125" i="1"/>
  <c r="N126" i="1"/>
  <c r="O126" i="1"/>
  <c r="P126" i="1"/>
  <c r="N127" i="1"/>
  <c r="O127" i="1"/>
  <c r="P127" i="1"/>
  <c r="N128" i="1"/>
  <c r="O128" i="1"/>
  <c r="P128" i="1"/>
  <c r="N129" i="1"/>
  <c r="O129" i="1"/>
  <c r="P129" i="1"/>
  <c r="N130" i="1"/>
  <c r="O130" i="1"/>
  <c r="P130" i="1"/>
  <c r="N131" i="1"/>
  <c r="O131" i="1"/>
  <c r="P131" i="1"/>
  <c r="N132" i="1"/>
  <c r="O132" i="1"/>
  <c r="P132" i="1"/>
  <c r="N133" i="1"/>
  <c r="O133" i="1"/>
  <c r="P133" i="1"/>
  <c r="N134" i="1"/>
  <c r="O134" i="1"/>
  <c r="P134" i="1"/>
  <c r="N135" i="1"/>
  <c r="O135" i="1"/>
  <c r="P135" i="1"/>
  <c r="N136" i="1"/>
  <c r="O136" i="1"/>
  <c r="P136" i="1"/>
  <c r="N137" i="1"/>
  <c r="O137" i="1"/>
  <c r="P137" i="1"/>
  <c r="N138" i="1"/>
  <c r="O138" i="1"/>
  <c r="P138" i="1"/>
  <c r="N139" i="1"/>
  <c r="O139" i="1"/>
  <c r="P139" i="1"/>
  <c r="N140" i="1"/>
  <c r="O140" i="1"/>
  <c r="P140" i="1"/>
  <c r="N141" i="1"/>
  <c r="O141" i="1"/>
  <c r="P141" i="1"/>
  <c r="N142" i="1"/>
  <c r="O142" i="1"/>
  <c r="P142" i="1"/>
  <c r="N143" i="1"/>
  <c r="O143" i="1"/>
  <c r="P143" i="1"/>
  <c r="N144" i="1"/>
  <c r="O144" i="1"/>
  <c r="P144" i="1"/>
  <c r="N145" i="1"/>
  <c r="O145" i="1"/>
  <c r="P145" i="1"/>
  <c r="N146" i="1"/>
  <c r="O146" i="1"/>
  <c r="P146" i="1"/>
  <c r="N147" i="1"/>
  <c r="O147" i="1"/>
  <c r="P147" i="1"/>
  <c r="N148" i="1"/>
  <c r="O148" i="1"/>
  <c r="P148" i="1"/>
  <c r="N149" i="1"/>
  <c r="O149" i="1"/>
  <c r="P149" i="1"/>
  <c r="N150" i="1"/>
  <c r="O150" i="1"/>
  <c r="P150" i="1"/>
  <c r="N151" i="1"/>
  <c r="O151" i="1"/>
  <c r="P151" i="1"/>
  <c r="N152" i="1"/>
  <c r="O152" i="1"/>
  <c r="P152" i="1"/>
  <c r="N153" i="1"/>
  <c r="O153" i="1"/>
  <c r="P153" i="1"/>
  <c r="N154" i="1"/>
  <c r="O154" i="1"/>
  <c r="P154" i="1"/>
  <c r="N155" i="1"/>
  <c r="O155" i="1"/>
  <c r="P155" i="1"/>
  <c r="N156" i="1"/>
  <c r="O156" i="1"/>
  <c r="P156" i="1"/>
  <c r="N157" i="1"/>
  <c r="O157" i="1"/>
  <c r="P157" i="1"/>
  <c r="N158" i="1"/>
  <c r="O158" i="1"/>
  <c r="P158" i="1"/>
  <c r="N159" i="1"/>
  <c r="O159" i="1"/>
  <c r="P159" i="1"/>
  <c r="N160" i="1"/>
  <c r="O160" i="1"/>
  <c r="P160" i="1"/>
  <c r="N161" i="1"/>
  <c r="O161" i="1"/>
  <c r="P161" i="1"/>
  <c r="N162" i="1"/>
  <c r="O162" i="1"/>
  <c r="P162" i="1"/>
  <c r="N163" i="1"/>
  <c r="O163" i="1"/>
  <c r="P163" i="1"/>
  <c r="N164" i="1"/>
  <c r="O164" i="1"/>
  <c r="P164" i="1"/>
  <c r="N165" i="1"/>
  <c r="O165" i="1"/>
  <c r="P165" i="1"/>
  <c r="N166" i="1"/>
  <c r="O166" i="1"/>
  <c r="P166" i="1"/>
  <c r="N167" i="1"/>
  <c r="O167" i="1"/>
  <c r="P167" i="1"/>
  <c r="N168" i="1"/>
  <c r="O168" i="1"/>
  <c r="P168" i="1"/>
  <c r="N169" i="1"/>
  <c r="O169" i="1"/>
  <c r="P169" i="1"/>
  <c r="N170" i="1"/>
  <c r="O170" i="1"/>
  <c r="P170" i="1"/>
  <c r="N171" i="1"/>
  <c r="O171" i="1"/>
  <c r="P171" i="1"/>
  <c r="N172" i="1"/>
  <c r="O172" i="1"/>
  <c r="P172" i="1"/>
  <c r="N173" i="1"/>
  <c r="O173" i="1"/>
  <c r="P173" i="1"/>
  <c r="N174" i="1"/>
  <c r="O174" i="1"/>
  <c r="P174" i="1"/>
  <c r="N175" i="1"/>
  <c r="O175" i="1"/>
  <c r="P175" i="1"/>
  <c r="N176" i="1"/>
  <c r="O176" i="1"/>
  <c r="P176" i="1"/>
  <c r="N177" i="1"/>
  <c r="O177" i="1"/>
  <c r="P177" i="1"/>
  <c r="N178" i="1"/>
  <c r="O178" i="1"/>
  <c r="P178" i="1"/>
  <c r="N179" i="1"/>
  <c r="O179" i="1"/>
  <c r="P179" i="1"/>
  <c r="N180" i="1"/>
  <c r="O180" i="1"/>
  <c r="P180" i="1"/>
  <c r="N181" i="1"/>
  <c r="O181" i="1"/>
  <c r="P181" i="1"/>
  <c r="N182" i="1"/>
  <c r="O182" i="1"/>
  <c r="P182" i="1"/>
  <c r="N183" i="1"/>
  <c r="O183" i="1"/>
  <c r="P183" i="1"/>
  <c r="N184" i="1"/>
  <c r="O184" i="1"/>
  <c r="P184" i="1"/>
  <c r="N185" i="1"/>
  <c r="O185" i="1"/>
  <c r="P185" i="1"/>
  <c r="N186" i="1"/>
  <c r="O186" i="1"/>
  <c r="P186" i="1"/>
  <c r="N187" i="1"/>
  <c r="O187" i="1"/>
  <c r="P187" i="1"/>
  <c r="N188" i="1"/>
  <c r="O188" i="1"/>
  <c r="P188" i="1"/>
  <c r="N189" i="1"/>
  <c r="O189" i="1"/>
  <c r="P189" i="1"/>
  <c r="N190" i="1"/>
  <c r="O190" i="1"/>
  <c r="P190" i="1"/>
  <c r="N191" i="1"/>
  <c r="O191" i="1"/>
  <c r="P191" i="1"/>
  <c r="N192" i="1"/>
  <c r="O192" i="1"/>
  <c r="P192" i="1"/>
  <c r="N193" i="1"/>
  <c r="O193" i="1"/>
  <c r="P193" i="1"/>
  <c r="N194" i="1"/>
  <c r="O194" i="1"/>
  <c r="P194" i="1"/>
  <c r="N195" i="1"/>
  <c r="O195" i="1"/>
  <c r="P195" i="1"/>
  <c r="N196" i="1"/>
  <c r="O196" i="1"/>
  <c r="P196" i="1"/>
  <c r="N197" i="1"/>
  <c r="O197" i="1"/>
  <c r="P197" i="1"/>
  <c r="N198" i="1"/>
  <c r="O198" i="1"/>
  <c r="P198" i="1"/>
  <c r="N199" i="1"/>
  <c r="O199" i="1"/>
  <c r="P199" i="1"/>
  <c r="N200" i="1"/>
  <c r="O200" i="1"/>
  <c r="P200" i="1"/>
  <c r="N201" i="1"/>
  <c r="O201" i="1"/>
  <c r="P201" i="1"/>
  <c r="N202" i="1"/>
  <c r="O202" i="1"/>
  <c r="P202" i="1"/>
  <c r="N203" i="1"/>
  <c r="O203" i="1"/>
  <c r="P203" i="1"/>
  <c r="N204" i="1"/>
  <c r="O204" i="1"/>
  <c r="P204" i="1"/>
  <c r="N205" i="1"/>
  <c r="O205" i="1"/>
  <c r="P205" i="1"/>
  <c r="N206" i="1"/>
  <c r="O206" i="1"/>
  <c r="P206" i="1"/>
  <c r="N207" i="1"/>
  <c r="O207" i="1"/>
  <c r="P207" i="1"/>
  <c r="N208" i="1"/>
  <c r="O208" i="1"/>
  <c r="P208" i="1"/>
  <c r="N209" i="1"/>
  <c r="O209" i="1"/>
  <c r="P209" i="1"/>
  <c r="N210" i="1"/>
  <c r="O210" i="1"/>
  <c r="P210" i="1"/>
  <c r="N211" i="1"/>
  <c r="O211" i="1"/>
  <c r="P211" i="1"/>
  <c r="N212" i="1"/>
  <c r="O212" i="1"/>
  <c r="P212" i="1"/>
  <c r="N213" i="1"/>
  <c r="O213" i="1"/>
  <c r="P213" i="1"/>
  <c r="N214" i="1"/>
  <c r="O214" i="1"/>
  <c r="P214" i="1"/>
  <c r="N215" i="1"/>
  <c r="O215" i="1"/>
  <c r="P215" i="1"/>
  <c r="N216" i="1"/>
  <c r="O216" i="1"/>
  <c r="P216" i="1"/>
  <c r="N217" i="1"/>
  <c r="O217" i="1"/>
  <c r="P217" i="1"/>
  <c r="N218" i="1"/>
  <c r="O218" i="1"/>
  <c r="P218" i="1"/>
  <c r="N219" i="1"/>
  <c r="O219" i="1"/>
  <c r="P219" i="1"/>
  <c r="N220" i="1"/>
  <c r="O220" i="1"/>
  <c r="P220" i="1"/>
  <c r="N221" i="1"/>
  <c r="O221" i="1"/>
  <c r="P221" i="1"/>
  <c r="N222" i="1"/>
  <c r="O222" i="1"/>
  <c r="P222" i="1"/>
  <c r="N223" i="1"/>
  <c r="O223" i="1"/>
  <c r="P223" i="1"/>
  <c r="N224" i="1"/>
  <c r="O224" i="1"/>
  <c r="P224" i="1"/>
  <c r="N225" i="1"/>
  <c r="O225" i="1"/>
  <c r="P225" i="1"/>
  <c r="N226" i="1"/>
  <c r="O226" i="1"/>
  <c r="P226" i="1"/>
  <c r="N227" i="1"/>
  <c r="O227" i="1"/>
  <c r="P227" i="1"/>
  <c r="N228" i="1"/>
  <c r="O228" i="1"/>
  <c r="P228" i="1"/>
  <c r="N229" i="1"/>
  <c r="O229" i="1"/>
  <c r="P229" i="1"/>
  <c r="N230" i="1"/>
  <c r="O230" i="1"/>
  <c r="P230" i="1"/>
  <c r="N231" i="1"/>
  <c r="O231" i="1"/>
  <c r="P231" i="1"/>
  <c r="N232" i="1"/>
  <c r="O232" i="1"/>
  <c r="P232" i="1"/>
  <c r="N233" i="1"/>
  <c r="O233" i="1"/>
  <c r="P233" i="1"/>
  <c r="N234" i="1"/>
  <c r="O234" i="1"/>
  <c r="P234" i="1"/>
  <c r="N235" i="1"/>
  <c r="O235" i="1"/>
  <c r="P235" i="1"/>
  <c r="N236" i="1"/>
  <c r="O236" i="1"/>
  <c r="P236" i="1"/>
  <c r="N237" i="1"/>
  <c r="O237" i="1"/>
  <c r="P237" i="1"/>
  <c r="N238" i="1"/>
  <c r="O238" i="1"/>
  <c r="P238" i="1"/>
  <c r="N239" i="1"/>
  <c r="O239" i="1"/>
  <c r="P239" i="1"/>
  <c r="N240" i="1"/>
  <c r="O240" i="1"/>
  <c r="P240" i="1"/>
  <c r="N241" i="1"/>
  <c r="O241" i="1"/>
  <c r="P241" i="1"/>
  <c r="N242" i="1"/>
  <c r="O242" i="1"/>
  <c r="P242" i="1"/>
  <c r="N243" i="1"/>
  <c r="O243" i="1"/>
  <c r="P243" i="1"/>
  <c r="N244" i="1"/>
  <c r="O244" i="1"/>
  <c r="P244" i="1"/>
  <c r="N245" i="1"/>
  <c r="O245" i="1"/>
  <c r="P245" i="1"/>
  <c r="N246" i="1"/>
  <c r="O246" i="1"/>
  <c r="P246" i="1"/>
  <c r="N247" i="1"/>
  <c r="O247" i="1"/>
  <c r="P247" i="1"/>
  <c r="N248" i="1"/>
  <c r="O248" i="1"/>
  <c r="P248" i="1"/>
  <c r="N249" i="1"/>
  <c r="O249" i="1"/>
  <c r="P249" i="1"/>
  <c r="N250" i="1"/>
  <c r="O250" i="1"/>
  <c r="P250" i="1"/>
  <c r="N251" i="1"/>
  <c r="O251" i="1"/>
  <c r="P251" i="1"/>
  <c r="P2" i="1"/>
  <c r="O2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3" i="1"/>
  <c r="H4" i="1"/>
  <c r="H5" i="1"/>
  <c r="H6" i="1"/>
  <c r="H7" i="1"/>
  <c r="H8" i="1"/>
  <c r="H9" i="1"/>
  <c r="H10" i="1"/>
  <c r="H11" i="1"/>
  <c r="H12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3" i="1"/>
  <c r="F4" i="1"/>
  <c r="F5" i="1"/>
  <c r="F6" i="1"/>
  <c r="F7" i="1"/>
  <c r="F8" i="1"/>
  <c r="F2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3" i="1"/>
  <c r="E4" i="1"/>
  <c r="E5" i="1"/>
  <c r="E2" i="1"/>
</calcChain>
</file>

<file path=xl/sharedStrings.xml><?xml version="1.0" encoding="utf-8"?>
<sst xmlns="http://schemas.openxmlformats.org/spreadsheetml/2006/main" count="16" uniqueCount="16">
  <si>
    <t xml:space="preserve"> bubble </t>
  </si>
  <si>
    <t xml:space="preserve"> insertion </t>
  </si>
  <si>
    <t xml:space="preserve"> selection </t>
  </si>
  <si>
    <t>O(n)</t>
  </si>
  <si>
    <t>O(n log n)</t>
  </si>
  <si>
    <t>size</t>
  </si>
  <si>
    <t>O(n^2)</t>
  </si>
  <si>
    <t>B/n</t>
  </si>
  <si>
    <t>B/n^2</t>
  </si>
  <si>
    <t>B/n log n</t>
  </si>
  <si>
    <t>I/n</t>
  </si>
  <si>
    <t>I/n^2</t>
  </si>
  <si>
    <t>I/n log n</t>
  </si>
  <si>
    <t>S/n</t>
  </si>
  <si>
    <t>S/n^2</t>
  </si>
  <si>
    <t>S/n logn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</si>
</sst>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FFFD78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33" borderId="10" xfId="0" applyFill="1" applyBorder="1"/>
    <xf numFmtId="0" fontId="0" fillId="35" borderId="10" xfId="0" applyFill="1" applyBorder="1"/>
    <xf numFmtId="0" fontId="0" fillId="34" borderId="10" xfId="0" applyFill="1" applyBorder="1"/>
    <xf numFmtId="0" fontId="0" fillId="36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D78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688544341539992E-2"/>
          <c:y val="7.3325471698113223E-2"/>
          <c:w val="0.91750521882439118"/>
          <c:h val="0.79750389986629033"/>
        </c:manualLayout>
      </c:layout>
      <c:lineChart>
        <c:grouping val="standard"/>
        <c:varyColors val="0"/>
        <c:ser>
          <c:idx val="0"/>
          <c:order val="0"/>
          <c:tx>
            <c:strRef>
              <c:f>'Lab 3 comparison doc'!$A$1</c:f>
              <c:strCache>
                <c:ptCount val="1"/>
                <c:pt idx="0">
                  <c:v>size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'Lab 3 comparison doc'!$A$2:$A$251</c:f>
              <c:numCache>
                <c:formatCode>General</c:formatCode>
                <c:ptCount val="25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  <c:pt idx="50">
                  <c:v>1020</c:v>
                </c:pt>
                <c:pt idx="51">
                  <c:v>1040</c:v>
                </c:pt>
                <c:pt idx="52">
                  <c:v>1060</c:v>
                </c:pt>
                <c:pt idx="53">
                  <c:v>1080</c:v>
                </c:pt>
                <c:pt idx="54">
                  <c:v>1100</c:v>
                </c:pt>
                <c:pt idx="55">
                  <c:v>1120</c:v>
                </c:pt>
                <c:pt idx="56">
                  <c:v>1140</c:v>
                </c:pt>
                <c:pt idx="57">
                  <c:v>1160</c:v>
                </c:pt>
                <c:pt idx="58">
                  <c:v>1180</c:v>
                </c:pt>
                <c:pt idx="59">
                  <c:v>1200</c:v>
                </c:pt>
                <c:pt idx="60">
                  <c:v>1220</c:v>
                </c:pt>
                <c:pt idx="61">
                  <c:v>1240</c:v>
                </c:pt>
                <c:pt idx="62">
                  <c:v>1260</c:v>
                </c:pt>
                <c:pt idx="63">
                  <c:v>1280</c:v>
                </c:pt>
                <c:pt idx="64">
                  <c:v>1300</c:v>
                </c:pt>
                <c:pt idx="65">
                  <c:v>1320</c:v>
                </c:pt>
                <c:pt idx="66">
                  <c:v>1340</c:v>
                </c:pt>
                <c:pt idx="67">
                  <c:v>1360</c:v>
                </c:pt>
                <c:pt idx="68">
                  <c:v>1380</c:v>
                </c:pt>
                <c:pt idx="69">
                  <c:v>1400</c:v>
                </c:pt>
                <c:pt idx="70">
                  <c:v>1420</c:v>
                </c:pt>
                <c:pt idx="71">
                  <c:v>1440</c:v>
                </c:pt>
                <c:pt idx="72">
                  <c:v>1460</c:v>
                </c:pt>
                <c:pt idx="73">
                  <c:v>1480</c:v>
                </c:pt>
                <c:pt idx="74">
                  <c:v>1500</c:v>
                </c:pt>
                <c:pt idx="75">
                  <c:v>1520</c:v>
                </c:pt>
                <c:pt idx="76">
                  <c:v>1540</c:v>
                </c:pt>
                <c:pt idx="77">
                  <c:v>1560</c:v>
                </c:pt>
                <c:pt idx="78">
                  <c:v>1580</c:v>
                </c:pt>
                <c:pt idx="79">
                  <c:v>1600</c:v>
                </c:pt>
                <c:pt idx="80">
                  <c:v>1620</c:v>
                </c:pt>
                <c:pt idx="81">
                  <c:v>1640</c:v>
                </c:pt>
                <c:pt idx="82">
                  <c:v>1660</c:v>
                </c:pt>
                <c:pt idx="83">
                  <c:v>1680</c:v>
                </c:pt>
                <c:pt idx="84">
                  <c:v>1700</c:v>
                </c:pt>
                <c:pt idx="85">
                  <c:v>1720</c:v>
                </c:pt>
                <c:pt idx="86">
                  <c:v>1740</c:v>
                </c:pt>
                <c:pt idx="87">
                  <c:v>1760</c:v>
                </c:pt>
                <c:pt idx="88">
                  <c:v>1780</c:v>
                </c:pt>
                <c:pt idx="89">
                  <c:v>1800</c:v>
                </c:pt>
                <c:pt idx="90">
                  <c:v>1820</c:v>
                </c:pt>
                <c:pt idx="91">
                  <c:v>1840</c:v>
                </c:pt>
                <c:pt idx="92">
                  <c:v>1860</c:v>
                </c:pt>
                <c:pt idx="93">
                  <c:v>1880</c:v>
                </c:pt>
                <c:pt idx="94">
                  <c:v>1900</c:v>
                </c:pt>
                <c:pt idx="95">
                  <c:v>1920</c:v>
                </c:pt>
                <c:pt idx="96">
                  <c:v>1940</c:v>
                </c:pt>
                <c:pt idx="97">
                  <c:v>1960</c:v>
                </c:pt>
                <c:pt idx="98">
                  <c:v>1980</c:v>
                </c:pt>
                <c:pt idx="99">
                  <c:v>2000</c:v>
                </c:pt>
                <c:pt idx="100">
                  <c:v>2020</c:v>
                </c:pt>
                <c:pt idx="101">
                  <c:v>2040</c:v>
                </c:pt>
                <c:pt idx="102">
                  <c:v>2060</c:v>
                </c:pt>
                <c:pt idx="103">
                  <c:v>2080</c:v>
                </c:pt>
                <c:pt idx="104">
                  <c:v>2100</c:v>
                </c:pt>
                <c:pt idx="105">
                  <c:v>2120</c:v>
                </c:pt>
                <c:pt idx="106">
                  <c:v>2140</c:v>
                </c:pt>
                <c:pt idx="107">
                  <c:v>2160</c:v>
                </c:pt>
                <c:pt idx="108">
                  <c:v>2180</c:v>
                </c:pt>
                <c:pt idx="109">
                  <c:v>2200</c:v>
                </c:pt>
                <c:pt idx="110">
                  <c:v>2220</c:v>
                </c:pt>
                <c:pt idx="111">
                  <c:v>2240</c:v>
                </c:pt>
                <c:pt idx="112">
                  <c:v>2260</c:v>
                </c:pt>
                <c:pt idx="113">
                  <c:v>2280</c:v>
                </c:pt>
                <c:pt idx="114">
                  <c:v>2300</c:v>
                </c:pt>
                <c:pt idx="115">
                  <c:v>2320</c:v>
                </c:pt>
                <c:pt idx="116">
                  <c:v>2340</c:v>
                </c:pt>
                <c:pt idx="117">
                  <c:v>2360</c:v>
                </c:pt>
                <c:pt idx="118">
                  <c:v>2380</c:v>
                </c:pt>
                <c:pt idx="119">
                  <c:v>2400</c:v>
                </c:pt>
                <c:pt idx="120">
                  <c:v>2420</c:v>
                </c:pt>
                <c:pt idx="121">
                  <c:v>2440</c:v>
                </c:pt>
                <c:pt idx="122">
                  <c:v>2460</c:v>
                </c:pt>
                <c:pt idx="123">
                  <c:v>2480</c:v>
                </c:pt>
                <c:pt idx="124">
                  <c:v>2500</c:v>
                </c:pt>
                <c:pt idx="125">
                  <c:v>2520</c:v>
                </c:pt>
                <c:pt idx="126">
                  <c:v>2540</c:v>
                </c:pt>
                <c:pt idx="127">
                  <c:v>2560</c:v>
                </c:pt>
                <c:pt idx="128">
                  <c:v>2580</c:v>
                </c:pt>
                <c:pt idx="129">
                  <c:v>2600</c:v>
                </c:pt>
                <c:pt idx="130">
                  <c:v>2620</c:v>
                </c:pt>
                <c:pt idx="131">
                  <c:v>2640</c:v>
                </c:pt>
                <c:pt idx="132">
                  <c:v>2660</c:v>
                </c:pt>
                <c:pt idx="133">
                  <c:v>2680</c:v>
                </c:pt>
                <c:pt idx="134">
                  <c:v>2700</c:v>
                </c:pt>
                <c:pt idx="135">
                  <c:v>2720</c:v>
                </c:pt>
                <c:pt idx="136">
                  <c:v>2740</c:v>
                </c:pt>
                <c:pt idx="137">
                  <c:v>2760</c:v>
                </c:pt>
                <c:pt idx="138">
                  <c:v>2780</c:v>
                </c:pt>
                <c:pt idx="139">
                  <c:v>2800</c:v>
                </c:pt>
                <c:pt idx="140">
                  <c:v>2820</c:v>
                </c:pt>
                <c:pt idx="141">
                  <c:v>2840</c:v>
                </c:pt>
                <c:pt idx="142">
                  <c:v>2860</c:v>
                </c:pt>
                <c:pt idx="143">
                  <c:v>2880</c:v>
                </c:pt>
                <c:pt idx="144">
                  <c:v>2900</c:v>
                </c:pt>
                <c:pt idx="145">
                  <c:v>2920</c:v>
                </c:pt>
                <c:pt idx="146">
                  <c:v>2940</c:v>
                </c:pt>
                <c:pt idx="147">
                  <c:v>2960</c:v>
                </c:pt>
                <c:pt idx="148">
                  <c:v>2980</c:v>
                </c:pt>
                <c:pt idx="149">
                  <c:v>3000</c:v>
                </c:pt>
                <c:pt idx="150">
                  <c:v>3020</c:v>
                </c:pt>
                <c:pt idx="151">
                  <c:v>3040</c:v>
                </c:pt>
                <c:pt idx="152">
                  <c:v>3060</c:v>
                </c:pt>
                <c:pt idx="153">
                  <c:v>3080</c:v>
                </c:pt>
                <c:pt idx="154">
                  <c:v>3100</c:v>
                </c:pt>
                <c:pt idx="155">
                  <c:v>3120</c:v>
                </c:pt>
                <c:pt idx="156">
                  <c:v>3140</c:v>
                </c:pt>
                <c:pt idx="157">
                  <c:v>3160</c:v>
                </c:pt>
                <c:pt idx="158">
                  <c:v>3180</c:v>
                </c:pt>
                <c:pt idx="159">
                  <c:v>3200</c:v>
                </c:pt>
                <c:pt idx="160">
                  <c:v>3220</c:v>
                </c:pt>
                <c:pt idx="161">
                  <c:v>3240</c:v>
                </c:pt>
                <c:pt idx="162">
                  <c:v>3260</c:v>
                </c:pt>
                <c:pt idx="163">
                  <c:v>3280</c:v>
                </c:pt>
                <c:pt idx="164">
                  <c:v>3300</c:v>
                </c:pt>
                <c:pt idx="165">
                  <c:v>3320</c:v>
                </c:pt>
                <c:pt idx="166">
                  <c:v>3340</c:v>
                </c:pt>
                <c:pt idx="167">
                  <c:v>3360</c:v>
                </c:pt>
                <c:pt idx="168">
                  <c:v>3380</c:v>
                </c:pt>
                <c:pt idx="169">
                  <c:v>3400</c:v>
                </c:pt>
                <c:pt idx="170">
                  <c:v>3420</c:v>
                </c:pt>
                <c:pt idx="171">
                  <c:v>3440</c:v>
                </c:pt>
                <c:pt idx="172">
                  <c:v>3460</c:v>
                </c:pt>
                <c:pt idx="173">
                  <c:v>3480</c:v>
                </c:pt>
                <c:pt idx="174">
                  <c:v>3500</c:v>
                </c:pt>
                <c:pt idx="175">
                  <c:v>3520</c:v>
                </c:pt>
                <c:pt idx="176">
                  <c:v>3540</c:v>
                </c:pt>
                <c:pt idx="177">
                  <c:v>3560</c:v>
                </c:pt>
                <c:pt idx="178">
                  <c:v>3580</c:v>
                </c:pt>
                <c:pt idx="179">
                  <c:v>3600</c:v>
                </c:pt>
                <c:pt idx="180">
                  <c:v>3620</c:v>
                </c:pt>
                <c:pt idx="181">
                  <c:v>3640</c:v>
                </c:pt>
                <c:pt idx="182">
                  <c:v>3660</c:v>
                </c:pt>
                <c:pt idx="183">
                  <c:v>3680</c:v>
                </c:pt>
                <c:pt idx="184">
                  <c:v>3700</c:v>
                </c:pt>
                <c:pt idx="185">
                  <c:v>3720</c:v>
                </c:pt>
                <c:pt idx="186">
                  <c:v>3740</c:v>
                </c:pt>
                <c:pt idx="187">
                  <c:v>3760</c:v>
                </c:pt>
                <c:pt idx="188">
                  <c:v>3780</c:v>
                </c:pt>
                <c:pt idx="189">
                  <c:v>3800</c:v>
                </c:pt>
                <c:pt idx="190">
                  <c:v>3820</c:v>
                </c:pt>
                <c:pt idx="191">
                  <c:v>3840</c:v>
                </c:pt>
                <c:pt idx="192">
                  <c:v>3860</c:v>
                </c:pt>
                <c:pt idx="193">
                  <c:v>3880</c:v>
                </c:pt>
                <c:pt idx="194">
                  <c:v>3900</c:v>
                </c:pt>
                <c:pt idx="195">
                  <c:v>3920</c:v>
                </c:pt>
                <c:pt idx="196">
                  <c:v>3940</c:v>
                </c:pt>
                <c:pt idx="197">
                  <c:v>3960</c:v>
                </c:pt>
                <c:pt idx="198">
                  <c:v>3980</c:v>
                </c:pt>
                <c:pt idx="199">
                  <c:v>4000</c:v>
                </c:pt>
                <c:pt idx="200">
                  <c:v>4020</c:v>
                </c:pt>
                <c:pt idx="201">
                  <c:v>4040</c:v>
                </c:pt>
                <c:pt idx="202">
                  <c:v>4060</c:v>
                </c:pt>
                <c:pt idx="203">
                  <c:v>4080</c:v>
                </c:pt>
                <c:pt idx="204">
                  <c:v>4100</c:v>
                </c:pt>
                <c:pt idx="205">
                  <c:v>4120</c:v>
                </c:pt>
                <c:pt idx="206">
                  <c:v>4140</c:v>
                </c:pt>
                <c:pt idx="207">
                  <c:v>4160</c:v>
                </c:pt>
                <c:pt idx="208">
                  <c:v>4180</c:v>
                </c:pt>
                <c:pt idx="209">
                  <c:v>4200</c:v>
                </c:pt>
                <c:pt idx="210">
                  <c:v>4220</c:v>
                </c:pt>
                <c:pt idx="211">
                  <c:v>4240</c:v>
                </c:pt>
                <c:pt idx="212">
                  <c:v>4260</c:v>
                </c:pt>
                <c:pt idx="213">
                  <c:v>4280</c:v>
                </c:pt>
                <c:pt idx="214">
                  <c:v>4300</c:v>
                </c:pt>
                <c:pt idx="215">
                  <c:v>4320</c:v>
                </c:pt>
                <c:pt idx="216">
                  <c:v>4340</c:v>
                </c:pt>
                <c:pt idx="217">
                  <c:v>4360</c:v>
                </c:pt>
                <c:pt idx="218">
                  <c:v>4380</c:v>
                </c:pt>
                <c:pt idx="219">
                  <c:v>4400</c:v>
                </c:pt>
                <c:pt idx="220">
                  <c:v>4420</c:v>
                </c:pt>
                <c:pt idx="221">
                  <c:v>4440</c:v>
                </c:pt>
                <c:pt idx="222">
                  <c:v>4460</c:v>
                </c:pt>
                <c:pt idx="223">
                  <c:v>4480</c:v>
                </c:pt>
                <c:pt idx="224">
                  <c:v>4500</c:v>
                </c:pt>
                <c:pt idx="225">
                  <c:v>4520</c:v>
                </c:pt>
                <c:pt idx="226">
                  <c:v>4540</c:v>
                </c:pt>
                <c:pt idx="227">
                  <c:v>4560</c:v>
                </c:pt>
                <c:pt idx="228">
                  <c:v>4580</c:v>
                </c:pt>
                <c:pt idx="229">
                  <c:v>4600</c:v>
                </c:pt>
                <c:pt idx="230">
                  <c:v>4620</c:v>
                </c:pt>
                <c:pt idx="231">
                  <c:v>4640</c:v>
                </c:pt>
                <c:pt idx="232">
                  <c:v>4660</c:v>
                </c:pt>
                <c:pt idx="233">
                  <c:v>4680</c:v>
                </c:pt>
                <c:pt idx="234">
                  <c:v>4700</c:v>
                </c:pt>
                <c:pt idx="235">
                  <c:v>4720</c:v>
                </c:pt>
                <c:pt idx="236">
                  <c:v>4740</c:v>
                </c:pt>
                <c:pt idx="237">
                  <c:v>4760</c:v>
                </c:pt>
                <c:pt idx="238">
                  <c:v>4780</c:v>
                </c:pt>
                <c:pt idx="239">
                  <c:v>4800</c:v>
                </c:pt>
                <c:pt idx="240">
                  <c:v>4820</c:v>
                </c:pt>
                <c:pt idx="241">
                  <c:v>4840</c:v>
                </c:pt>
                <c:pt idx="242">
                  <c:v>4860</c:v>
                </c:pt>
                <c:pt idx="243">
                  <c:v>4880</c:v>
                </c:pt>
                <c:pt idx="244">
                  <c:v>4900</c:v>
                </c:pt>
                <c:pt idx="245">
                  <c:v>4920</c:v>
                </c:pt>
                <c:pt idx="246">
                  <c:v>4940</c:v>
                </c:pt>
                <c:pt idx="247">
                  <c:v>4960</c:v>
                </c:pt>
                <c:pt idx="248">
                  <c:v>4980</c:v>
                </c:pt>
                <c:pt idx="249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DF-8946-BE80-89E05FA1F51F}"/>
            </c:ext>
          </c:extLst>
        </c:ser>
        <c:ser>
          <c:idx val="1"/>
          <c:order val="1"/>
          <c:tx>
            <c:strRef>
              <c:f>'Lab 3 comparison doc'!$B$1</c:f>
              <c:strCache>
                <c:ptCount val="1"/>
                <c:pt idx="0">
                  <c:v> bubble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'Lab 3 comparison doc'!$B$2:$B$251</c:f>
              <c:numCache>
                <c:formatCode>General</c:formatCode>
                <c:ptCount val="250"/>
                <c:pt idx="0">
                  <c:v>6</c:v>
                </c:pt>
                <c:pt idx="1">
                  <c:v>20</c:v>
                </c:pt>
                <c:pt idx="2">
                  <c:v>44</c:v>
                </c:pt>
                <c:pt idx="3">
                  <c:v>74</c:v>
                </c:pt>
                <c:pt idx="4">
                  <c:v>117</c:v>
                </c:pt>
                <c:pt idx="5">
                  <c:v>170</c:v>
                </c:pt>
                <c:pt idx="6">
                  <c:v>223</c:v>
                </c:pt>
                <c:pt idx="7">
                  <c:v>288</c:v>
                </c:pt>
                <c:pt idx="8">
                  <c:v>372</c:v>
                </c:pt>
                <c:pt idx="9">
                  <c:v>434</c:v>
                </c:pt>
                <c:pt idx="10">
                  <c:v>548</c:v>
                </c:pt>
                <c:pt idx="11">
                  <c:v>647</c:v>
                </c:pt>
                <c:pt idx="12">
                  <c:v>757</c:v>
                </c:pt>
                <c:pt idx="13">
                  <c:v>837</c:v>
                </c:pt>
                <c:pt idx="14">
                  <c:v>951</c:v>
                </c:pt>
                <c:pt idx="15">
                  <c:v>1089</c:v>
                </c:pt>
                <c:pt idx="16">
                  <c:v>1210</c:v>
                </c:pt>
                <c:pt idx="17">
                  <c:v>1383</c:v>
                </c:pt>
                <c:pt idx="18">
                  <c:v>1460</c:v>
                </c:pt>
                <c:pt idx="19">
                  <c:v>1607</c:v>
                </c:pt>
                <c:pt idx="20">
                  <c:v>1788</c:v>
                </c:pt>
                <c:pt idx="21">
                  <c:v>1854</c:v>
                </c:pt>
                <c:pt idx="22">
                  <c:v>2036</c:v>
                </c:pt>
                <c:pt idx="23">
                  <c:v>2183</c:v>
                </c:pt>
                <c:pt idx="24">
                  <c:v>2282</c:v>
                </c:pt>
                <c:pt idx="25">
                  <c:v>2418</c:v>
                </c:pt>
                <c:pt idx="26">
                  <c:v>2594</c:v>
                </c:pt>
                <c:pt idx="27">
                  <c:v>2716</c:v>
                </c:pt>
                <c:pt idx="28">
                  <c:v>2877</c:v>
                </c:pt>
                <c:pt idx="29">
                  <c:v>2998</c:v>
                </c:pt>
                <c:pt idx="30">
                  <c:v>3095</c:v>
                </c:pt>
                <c:pt idx="31">
                  <c:v>3245</c:v>
                </c:pt>
                <c:pt idx="32">
                  <c:v>3334</c:v>
                </c:pt>
                <c:pt idx="33">
                  <c:v>3507</c:v>
                </c:pt>
                <c:pt idx="34">
                  <c:v>3648</c:v>
                </c:pt>
                <c:pt idx="35">
                  <c:v>3730</c:v>
                </c:pt>
                <c:pt idx="36">
                  <c:v>3870</c:v>
                </c:pt>
                <c:pt idx="37">
                  <c:v>3898</c:v>
                </c:pt>
                <c:pt idx="38">
                  <c:v>3996</c:v>
                </c:pt>
                <c:pt idx="39">
                  <c:v>4235</c:v>
                </c:pt>
                <c:pt idx="40">
                  <c:v>4290</c:v>
                </c:pt>
                <c:pt idx="41">
                  <c:v>4356</c:v>
                </c:pt>
                <c:pt idx="42">
                  <c:v>4456</c:v>
                </c:pt>
                <c:pt idx="43">
                  <c:v>4574</c:v>
                </c:pt>
                <c:pt idx="44">
                  <c:v>4690</c:v>
                </c:pt>
                <c:pt idx="45">
                  <c:v>4798</c:v>
                </c:pt>
                <c:pt idx="46">
                  <c:v>4798</c:v>
                </c:pt>
                <c:pt idx="47">
                  <c:v>4951</c:v>
                </c:pt>
                <c:pt idx="48">
                  <c:v>5028</c:v>
                </c:pt>
                <c:pt idx="49">
                  <c:v>5208</c:v>
                </c:pt>
                <c:pt idx="50">
                  <c:v>5248</c:v>
                </c:pt>
                <c:pt idx="51">
                  <c:v>5378</c:v>
                </c:pt>
                <c:pt idx="52">
                  <c:v>5647</c:v>
                </c:pt>
                <c:pt idx="53">
                  <c:v>5783</c:v>
                </c:pt>
                <c:pt idx="54">
                  <c:v>5991</c:v>
                </c:pt>
                <c:pt idx="55">
                  <c:v>6297</c:v>
                </c:pt>
                <c:pt idx="56">
                  <c:v>6477</c:v>
                </c:pt>
                <c:pt idx="57">
                  <c:v>6722</c:v>
                </c:pt>
                <c:pt idx="58">
                  <c:v>7000</c:v>
                </c:pt>
                <c:pt idx="59">
                  <c:v>7202</c:v>
                </c:pt>
                <c:pt idx="60">
                  <c:v>7561</c:v>
                </c:pt>
                <c:pt idx="61">
                  <c:v>7711</c:v>
                </c:pt>
                <c:pt idx="62">
                  <c:v>7925</c:v>
                </c:pt>
                <c:pt idx="63">
                  <c:v>8259</c:v>
                </c:pt>
                <c:pt idx="64">
                  <c:v>8606</c:v>
                </c:pt>
                <c:pt idx="65">
                  <c:v>8852</c:v>
                </c:pt>
                <c:pt idx="66">
                  <c:v>8984</c:v>
                </c:pt>
                <c:pt idx="67">
                  <c:v>9282</c:v>
                </c:pt>
                <c:pt idx="68">
                  <c:v>9560</c:v>
                </c:pt>
                <c:pt idx="69">
                  <c:v>10012</c:v>
                </c:pt>
                <c:pt idx="70">
                  <c:v>10170</c:v>
                </c:pt>
                <c:pt idx="71">
                  <c:v>10530</c:v>
                </c:pt>
                <c:pt idx="72">
                  <c:v>10705</c:v>
                </c:pt>
                <c:pt idx="73">
                  <c:v>10984</c:v>
                </c:pt>
                <c:pt idx="74">
                  <c:v>11515</c:v>
                </c:pt>
                <c:pt idx="75">
                  <c:v>11628</c:v>
                </c:pt>
                <c:pt idx="76">
                  <c:v>12033</c:v>
                </c:pt>
                <c:pt idx="77">
                  <c:v>12417</c:v>
                </c:pt>
                <c:pt idx="78">
                  <c:v>12689</c:v>
                </c:pt>
                <c:pt idx="79">
                  <c:v>13123</c:v>
                </c:pt>
                <c:pt idx="80">
                  <c:v>13493</c:v>
                </c:pt>
                <c:pt idx="81">
                  <c:v>13691</c:v>
                </c:pt>
                <c:pt idx="82">
                  <c:v>14084</c:v>
                </c:pt>
                <c:pt idx="83">
                  <c:v>14516</c:v>
                </c:pt>
                <c:pt idx="84">
                  <c:v>14674</c:v>
                </c:pt>
                <c:pt idx="85">
                  <c:v>14909</c:v>
                </c:pt>
                <c:pt idx="86">
                  <c:v>15178</c:v>
                </c:pt>
                <c:pt idx="87">
                  <c:v>15856</c:v>
                </c:pt>
                <c:pt idx="88">
                  <c:v>16150</c:v>
                </c:pt>
                <c:pt idx="89">
                  <c:v>16434</c:v>
                </c:pt>
                <c:pt idx="90">
                  <c:v>16911</c:v>
                </c:pt>
                <c:pt idx="91">
                  <c:v>17314</c:v>
                </c:pt>
                <c:pt idx="92">
                  <c:v>17705</c:v>
                </c:pt>
                <c:pt idx="93">
                  <c:v>18128</c:v>
                </c:pt>
                <c:pt idx="94">
                  <c:v>18383</c:v>
                </c:pt>
                <c:pt idx="95">
                  <c:v>18833</c:v>
                </c:pt>
                <c:pt idx="96">
                  <c:v>19405</c:v>
                </c:pt>
                <c:pt idx="97">
                  <c:v>19714</c:v>
                </c:pt>
                <c:pt idx="98">
                  <c:v>20181</c:v>
                </c:pt>
                <c:pt idx="99">
                  <c:v>20519</c:v>
                </c:pt>
                <c:pt idx="100">
                  <c:v>20793</c:v>
                </c:pt>
                <c:pt idx="101">
                  <c:v>21332</c:v>
                </c:pt>
                <c:pt idx="102">
                  <c:v>21906</c:v>
                </c:pt>
                <c:pt idx="103">
                  <c:v>22209</c:v>
                </c:pt>
                <c:pt idx="104">
                  <c:v>22745</c:v>
                </c:pt>
                <c:pt idx="105">
                  <c:v>22770</c:v>
                </c:pt>
                <c:pt idx="106">
                  <c:v>23727</c:v>
                </c:pt>
                <c:pt idx="107">
                  <c:v>24074</c:v>
                </c:pt>
                <c:pt idx="108">
                  <c:v>24561</c:v>
                </c:pt>
                <c:pt idx="109">
                  <c:v>24771</c:v>
                </c:pt>
                <c:pt idx="110">
                  <c:v>25523</c:v>
                </c:pt>
                <c:pt idx="111">
                  <c:v>25830</c:v>
                </c:pt>
                <c:pt idx="112">
                  <c:v>26478</c:v>
                </c:pt>
                <c:pt idx="113">
                  <c:v>26960</c:v>
                </c:pt>
                <c:pt idx="114">
                  <c:v>27176</c:v>
                </c:pt>
                <c:pt idx="115">
                  <c:v>27784</c:v>
                </c:pt>
                <c:pt idx="116">
                  <c:v>28305</c:v>
                </c:pt>
                <c:pt idx="117">
                  <c:v>28924</c:v>
                </c:pt>
                <c:pt idx="118">
                  <c:v>29209</c:v>
                </c:pt>
                <c:pt idx="119">
                  <c:v>30152</c:v>
                </c:pt>
                <c:pt idx="120">
                  <c:v>30376</c:v>
                </c:pt>
                <c:pt idx="121">
                  <c:v>30981</c:v>
                </c:pt>
                <c:pt idx="122">
                  <c:v>31019</c:v>
                </c:pt>
                <c:pt idx="123">
                  <c:v>31743</c:v>
                </c:pt>
                <c:pt idx="124">
                  <c:v>32882</c:v>
                </c:pt>
                <c:pt idx="125">
                  <c:v>33123</c:v>
                </c:pt>
                <c:pt idx="126">
                  <c:v>33429</c:v>
                </c:pt>
                <c:pt idx="127">
                  <c:v>33941</c:v>
                </c:pt>
                <c:pt idx="128">
                  <c:v>34457</c:v>
                </c:pt>
                <c:pt idx="129">
                  <c:v>35212</c:v>
                </c:pt>
                <c:pt idx="130">
                  <c:v>35710</c:v>
                </c:pt>
                <c:pt idx="131">
                  <c:v>36329</c:v>
                </c:pt>
                <c:pt idx="132">
                  <c:v>37002</c:v>
                </c:pt>
                <c:pt idx="133">
                  <c:v>37680</c:v>
                </c:pt>
                <c:pt idx="134">
                  <c:v>38302</c:v>
                </c:pt>
                <c:pt idx="135">
                  <c:v>38557</c:v>
                </c:pt>
                <c:pt idx="136">
                  <c:v>39654</c:v>
                </c:pt>
                <c:pt idx="137">
                  <c:v>39860</c:v>
                </c:pt>
                <c:pt idx="138">
                  <c:v>40141</c:v>
                </c:pt>
                <c:pt idx="139">
                  <c:v>40910</c:v>
                </c:pt>
                <c:pt idx="140">
                  <c:v>41572</c:v>
                </c:pt>
                <c:pt idx="141">
                  <c:v>42249</c:v>
                </c:pt>
                <c:pt idx="142">
                  <c:v>43212</c:v>
                </c:pt>
                <c:pt idx="143">
                  <c:v>43340</c:v>
                </c:pt>
                <c:pt idx="144">
                  <c:v>44260</c:v>
                </c:pt>
                <c:pt idx="145">
                  <c:v>44587</c:v>
                </c:pt>
                <c:pt idx="146">
                  <c:v>45320</c:v>
                </c:pt>
                <c:pt idx="147">
                  <c:v>45850</c:v>
                </c:pt>
                <c:pt idx="148">
                  <c:v>46826</c:v>
                </c:pt>
                <c:pt idx="149">
                  <c:v>47406</c:v>
                </c:pt>
                <c:pt idx="150">
                  <c:v>47737</c:v>
                </c:pt>
                <c:pt idx="151">
                  <c:v>48491</c:v>
                </c:pt>
                <c:pt idx="152">
                  <c:v>49389</c:v>
                </c:pt>
                <c:pt idx="153">
                  <c:v>50037</c:v>
                </c:pt>
                <c:pt idx="154">
                  <c:v>50785</c:v>
                </c:pt>
                <c:pt idx="155">
                  <c:v>51164</c:v>
                </c:pt>
                <c:pt idx="156">
                  <c:v>58782</c:v>
                </c:pt>
                <c:pt idx="157">
                  <c:v>52943</c:v>
                </c:pt>
                <c:pt idx="158">
                  <c:v>53345</c:v>
                </c:pt>
                <c:pt idx="159">
                  <c:v>54161</c:v>
                </c:pt>
                <c:pt idx="160">
                  <c:v>55090</c:v>
                </c:pt>
                <c:pt idx="161">
                  <c:v>55240</c:v>
                </c:pt>
                <c:pt idx="162">
                  <c:v>56016</c:v>
                </c:pt>
                <c:pt idx="163">
                  <c:v>56689</c:v>
                </c:pt>
                <c:pt idx="164">
                  <c:v>57550</c:v>
                </c:pt>
                <c:pt idx="165">
                  <c:v>58103</c:v>
                </c:pt>
                <c:pt idx="166">
                  <c:v>59174</c:v>
                </c:pt>
                <c:pt idx="167">
                  <c:v>59937</c:v>
                </c:pt>
                <c:pt idx="168">
                  <c:v>60762</c:v>
                </c:pt>
                <c:pt idx="169">
                  <c:v>61206</c:v>
                </c:pt>
                <c:pt idx="170">
                  <c:v>61777</c:v>
                </c:pt>
                <c:pt idx="171">
                  <c:v>62741</c:v>
                </c:pt>
                <c:pt idx="172">
                  <c:v>63471</c:v>
                </c:pt>
                <c:pt idx="173">
                  <c:v>64171</c:v>
                </c:pt>
                <c:pt idx="174">
                  <c:v>65169</c:v>
                </c:pt>
                <c:pt idx="175">
                  <c:v>66167</c:v>
                </c:pt>
                <c:pt idx="176">
                  <c:v>66313</c:v>
                </c:pt>
                <c:pt idx="177">
                  <c:v>67138</c:v>
                </c:pt>
                <c:pt idx="178">
                  <c:v>68333</c:v>
                </c:pt>
                <c:pt idx="179">
                  <c:v>68636</c:v>
                </c:pt>
                <c:pt idx="180">
                  <c:v>69351</c:v>
                </c:pt>
                <c:pt idx="181">
                  <c:v>70745</c:v>
                </c:pt>
                <c:pt idx="182">
                  <c:v>71701</c:v>
                </c:pt>
                <c:pt idx="183">
                  <c:v>72078</c:v>
                </c:pt>
                <c:pt idx="184">
                  <c:v>73274</c:v>
                </c:pt>
                <c:pt idx="185">
                  <c:v>73700</c:v>
                </c:pt>
                <c:pt idx="186">
                  <c:v>74472</c:v>
                </c:pt>
                <c:pt idx="187">
                  <c:v>75979</c:v>
                </c:pt>
                <c:pt idx="188">
                  <c:v>76424</c:v>
                </c:pt>
                <c:pt idx="189">
                  <c:v>77137</c:v>
                </c:pt>
                <c:pt idx="190">
                  <c:v>78139</c:v>
                </c:pt>
                <c:pt idx="191">
                  <c:v>78684</c:v>
                </c:pt>
                <c:pt idx="192">
                  <c:v>79932</c:v>
                </c:pt>
                <c:pt idx="193">
                  <c:v>80636</c:v>
                </c:pt>
                <c:pt idx="194">
                  <c:v>81464</c:v>
                </c:pt>
                <c:pt idx="195">
                  <c:v>82417</c:v>
                </c:pt>
                <c:pt idx="196">
                  <c:v>83134</c:v>
                </c:pt>
                <c:pt idx="197">
                  <c:v>83940</c:v>
                </c:pt>
                <c:pt idx="198">
                  <c:v>85189</c:v>
                </c:pt>
                <c:pt idx="199">
                  <c:v>85402</c:v>
                </c:pt>
                <c:pt idx="200">
                  <c:v>86586</c:v>
                </c:pt>
                <c:pt idx="201">
                  <c:v>86998</c:v>
                </c:pt>
                <c:pt idx="202">
                  <c:v>88415</c:v>
                </c:pt>
                <c:pt idx="203">
                  <c:v>89720</c:v>
                </c:pt>
                <c:pt idx="204">
                  <c:v>90301</c:v>
                </c:pt>
                <c:pt idx="205">
                  <c:v>91699</c:v>
                </c:pt>
                <c:pt idx="206">
                  <c:v>92863</c:v>
                </c:pt>
                <c:pt idx="207">
                  <c:v>92732</c:v>
                </c:pt>
                <c:pt idx="208">
                  <c:v>93767</c:v>
                </c:pt>
                <c:pt idx="209">
                  <c:v>94238</c:v>
                </c:pt>
                <c:pt idx="210">
                  <c:v>95230</c:v>
                </c:pt>
                <c:pt idx="211">
                  <c:v>96731</c:v>
                </c:pt>
                <c:pt idx="212">
                  <c:v>97396</c:v>
                </c:pt>
                <c:pt idx="213">
                  <c:v>98657</c:v>
                </c:pt>
                <c:pt idx="214">
                  <c:v>98901</c:v>
                </c:pt>
                <c:pt idx="215">
                  <c:v>100504</c:v>
                </c:pt>
                <c:pt idx="216">
                  <c:v>101107</c:v>
                </c:pt>
                <c:pt idx="217">
                  <c:v>101625</c:v>
                </c:pt>
                <c:pt idx="218">
                  <c:v>103677</c:v>
                </c:pt>
                <c:pt idx="219">
                  <c:v>104438</c:v>
                </c:pt>
                <c:pt idx="220">
                  <c:v>105236</c:v>
                </c:pt>
                <c:pt idx="221">
                  <c:v>105882</c:v>
                </c:pt>
                <c:pt idx="222">
                  <c:v>107145</c:v>
                </c:pt>
                <c:pt idx="223">
                  <c:v>108385</c:v>
                </c:pt>
                <c:pt idx="224">
                  <c:v>108311</c:v>
                </c:pt>
                <c:pt idx="225">
                  <c:v>109450</c:v>
                </c:pt>
                <c:pt idx="226">
                  <c:v>111390</c:v>
                </c:pt>
                <c:pt idx="227">
                  <c:v>112028</c:v>
                </c:pt>
                <c:pt idx="228">
                  <c:v>113511</c:v>
                </c:pt>
                <c:pt idx="229">
                  <c:v>113621</c:v>
                </c:pt>
                <c:pt idx="230">
                  <c:v>115266</c:v>
                </c:pt>
                <c:pt idx="231">
                  <c:v>116260</c:v>
                </c:pt>
                <c:pt idx="232">
                  <c:v>117361</c:v>
                </c:pt>
                <c:pt idx="233">
                  <c:v>117392</c:v>
                </c:pt>
                <c:pt idx="234">
                  <c:v>119086</c:v>
                </c:pt>
                <c:pt idx="235">
                  <c:v>119708</c:v>
                </c:pt>
                <c:pt idx="236">
                  <c:v>121730</c:v>
                </c:pt>
                <c:pt idx="237">
                  <c:v>121634</c:v>
                </c:pt>
                <c:pt idx="238">
                  <c:v>123186</c:v>
                </c:pt>
                <c:pt idx="239">
                  <c:v>124150</c:v>
                </c:pt>
                <c:pt idx="240">
                  <c:v>124772</c:v>
                </c:pt>
                <c:pt idx="241">
                  <c:v>125951</c:v>
                </c:pt>
                <c:pt idx="242">
                  <c:v>127219</c:v>
                </c:pt>
                <c:pt idx="243">
                  <c:v>128580</c:v>
                </c:pt>
                <c:pt idx="244">
                  <c:v>129337</c:v>
                </c:pt>
                <c:pt idx="245">
                  <c:v>131228</c:v>
                </c:pt>
                <c:pt idx="246">
                  <c:v>131568</c:v>
                </c:pt>
                <c:pt idx="247">
                  <c:v>131705</c:v>
                </c:pt>
                <c:pt idx="248">
                  <c:v>133774</c:v>
                </c:pt>
                <c:pt idx="249">
                  <c:v>134378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DF-8946-BE80-89E05FA1F51F}"/>
            </c:ext>
          </c:extLst>
        </c:ser>
        <c:ser>
          <c:idx val="2"/>
          <c:order val="2"/>
          <c:tx>
            <c:strRef>
              <c:f>'Lab 3 comparison doc'!$C$1</c:f>
              <c:strCache>
                <c:ptCount val="1"/>
                <c:pt idx="0">
                  <c:v> insertion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'Lab 3 comparison doc'!$C$2:$C$251</c:f>
              <c:numCache>
                <c:formatCode>General</c:formatCode>
                <c:ptCount val="250"/>
                <c:pt idx="0">
                  <c:v>3</c:v>
                </c:pt>
                <c:pt idx="1">
                  <c:v>8</c:v>
                </c:pt>
                <c:pt idx="2">
                  <c:v>18</c:v>
                </c:pt>
                <c:pt idx="3">
                  <c:v>28</c:v>
                </c:pt>
                <c:pt idx="4">
                  <c:v>45</c:v>
                </c:pt>
                <c:pt idx="5">
                  <c:v>66</c:v>
                </c:pt>
                <c:pt idx="6">
                  <c:v>79</c:v>
                </c:pt>
                <c:pt idx="7">
                  <c:v>99</c:v>
                </c:pt>
                <c:pt idx="8">
                  <c:v>140</c:v>
                </c:pt>
                <c:pt idx="9">
                  <c:v>184</c:v>
                </c:pt>
                <c:pt idx="10">
                  <c:v>197</c:v>
                </c:pt>
                <c:pt idx="11">
                  <c:v>237</c:v>
                </c:pt>
                <c:pt idx="12">
                  <c:v>267</c:v>
                </c:pt>
                <c:pt idx="13">
                  <c:v>304</c:v>
                </c:pt>
                <c:pt idx="14">
                  <c:v>344</c:v>
                </c:pt>
                <c:pt idx="15">
                  <c:v>384</c:v>
                </c:pt>
                <c:pt idx="16">
                  <c:v>420</c:v>
                </c:pt>
                <c:pt idx="17">
                  <c:v>495</c:v>
                </c:pt>
                <c:pt idx="18">
                  <c:v>522</c:v>
                </c:pt>
                <c:pt idx="19">
                  <c:v>542</c:v>
                </c:pt>
                <c:pt idx="20">
                  <c:v>656</c:v>
                </c:pt>
                <c:pt idx="21">
                  <c:v>645</c:v>
                </c:pt>
                <c:pt idx="22">
                  <c:v>703</c:v>
                </c:pt>
                <c:pt idx="23">
                  <c:v>764</c:v>
                </c:pt>
                <c:pt idx="24">
                  <c:v>806</c:v>
                </c:pt>
                <c:pt idx="25">
                  <c:v>854</c:v>
                </c:pt>
                <c:pt idx="26">
                  <c:v>900</c:v>
                </c:pt>
                <c:pt idx="27">
                  <c:v>928</c:v>
                </c:pt>
                <c:pt idx="28">
                  <c:v>1004</c:v>
                </c:pt>
                <c:pt idx="29">
                  <c:v>1067</c:v>
                </c:pt>
                <c:pt idx="30">
                  <c:v>1069</c:v>
                </c:pt>
                <c:pt idx="31">
                  <c:v>1117</c:v>
                </c:pt>
                <c:pt idx="32">
                  <c:v>1187</c:v>
                </c:pt>
                <c:pt idx="33">
                  <c:v>1159</c:v>
                </c:pt>
                <c:pt idx="34">
                  <c:v>1282</c:v>
                </c:pt>
                <c:pt idx="35">
                  <c:v>1315</c:v>
                </c:pt>
                <c:pt idx="36">
                  <c:v>1311</c:v>
                </c:pt>
                <c:pt idx="37">
                  <c:v>1293</c:v>
                </c:pt>
                <c:pt idx="38">
                  <c:v>1348</c:v>
                </c:pt>
                <c:pt idx="39">
                  <c:v>1418</c:v>
                </c:pt>
                <c:pt idx="40">
                  <c:v>1431</c:v>
                </c:pt>
                <c:pt idx="41">
                  <c:v>1471</c:v>
                </c:pt>
                <c:pt idx="42">
                  <c:v>1550</c:v>
                </c:pt>
                <c:pt idx="43">
                  <c:v>1540</c:v>
                </c:pt>
                <c:pt idx="44">
                  <c:v>1523</c:v>
                </c:pt>
                <c:pt idx="45">
                  <c:v>1614</c:v>
                </c:pt>
                <c:pt idx="46">
                  <c:v>1622</c:v>
                </c:pt>
                <c:pt idx="47">
                  <c:v>1689</c:v>
                </c:pt>
                <c:pt idx="48">
                  <c:v>1703</c:v>
                </c:pt>
                <c:pt idx="49">
                  <c:v>1748</c:v>
                </c:pt>
                <c:pt idx="50">
                  <c:v>1762</c:v>
                </c:pt>
                <c:pt idx="51">
                  <c:v>1812</c:v>
                </c:pt>
                <c:pt idx="52">
                  <c:v>1937</c:v>
                </c:pt>
                <c:pt idx="53">
                  <c:v>1987</c:v>
                </c:pt>
                <c:pt idx="54">
                  <c:v>2026</c:v>
                </c:pt>
                <c:pt idx="55">
                  <c:v>2101</c:v>
                </c:pt>
                <c:pt idx="56">
                  <c:v>2151</c:v>
                </c:pt>
                <c:pt idx="57">
                  <c:v>2236</c:v>
                </c:pt>
                <c:pt idx="58">
                  <c:v>2409</c:v>
                </c:pt>
                <c:pt idx="59">
                  <c:v>2489</c:v>
                </c:pt>
                <c:pt idx="60">
                  <c:v>2591</c:v>
                </c:pt>
                <c:pt idx="61">
                  <c:v>2585</c:v>
                </c:pt>
                <c:pt idx="62">
                  <c:v>2638</c:v>
                </c:pt>
                <c:pt idx="63">
                  <c:v>2797</c:v>
                </c:pt>
                <c:pt idx="64">
                  <c:v>2924</c:v>
                </c:pt>
                <c:pt idx="65">
                  <c:v>2983</c:v>
                </c:pt>
                <c:pt idx="66">
                  <c:v>3016</c:v>
                </c:pt>
                <c:pt idx="67">
                  <c:v>3108</c:v>
                </c:pt>
                <c:pt idx="68">
                  <c:v>3228</c:v>
                </c:pt>
                <c:pt idx="69">
                  <c:v>3430</c:v>
                </c:pt>
                <c:pt idx="70">
                  <c:v>3382</c:v>
                </c:pt>
                <c:pt idx="71">
                  <c:v>3510</c:v>
                </c:pt>
                <c:pt idx="72">
                  <c:v>3503</c:v>
                </c:pt>
                <c:pt idx="73">
                  <c:v>3724</c:v>
                </c:pt>
                <c:pt idx="74">
                  <c:v>3913</c:v>
                </c:pt>
                <c:pt idx="75">
                  <c:v>3958</c:v>
                </c:pt>
                <c:pt idx="76">
                  <c:v>3986</c:v>
                </c:pt>
                <c:pt idx="77">
                  <c:v>4248</c:v>
                </c:pt>
                <c:pt idx="78">
                  <c:v>4225</c:v>
                </c:pt>
                <c:pt idx="79">
                  <c:v>4470</c:v>
                </c:pt>
                <c:pt idx="80">
                  <c:v>4653</c:v>
                </c:pt>
                <c:pt idx="81">
                  <c:v>4466</c:v>
                </c:pt>
                <c:pt idx="82">
                  <c:v>4634</c:v>
                </c:pt>
                <c:pt idx="83">
                  <c:v>4888</c:v>
                </c:pt>
                <c:pt idx="84">
                  <c:v>4893</c:v>
                </c:pt>
                <c:pt idx="85">
                  <c:v>4882</c:v>
                </c:pt>
                <c:pt idx="86">
                  <c:v>4854</c:v>
                </c:pt>
                <c:pt idx="87">
                  <c:v>5255</c:v>
                </c:pt>
                <c:pt idx="88">
                  <c:v>5298</c:v>
                </c:pt>
                <c:pt idx="89">
                  <c:v>5416</c:v>
                </c:pt>
                <c:pt idx="90">
                  <c:v>5623</c:v>
                </c:pt>
                <c:pt idx="91">
                  <c:v>5739</c:v>
                </c:pt>
                <c:pt idx="92">
                  <c:v>5794</c:v>
                </c:pt>
                <c:pt idx="93">
                  <c:v>5990</c:v>
                </c:pt>
                <c:pt idx="94">
                  <c:v>6066</c:v>
                </c:pt>
                <c:pt idx="95">
                  <c:v>6210</c:v>
                </c:pt>
                <c:pt idx="96">
                  <c:v>6313</c:v>
                </c:pt>
                <c:pt idx="97">
                  <c:v>6478</c:v>
                </c:pt>
                <c:pt idx="98">
                  <c:v>6626</c:v>
                </c:pt>
                <c:pt idx="99">
                  <c:v>6765</c:v>
                </c:pt>
                <c:pt idx="100">
                  <c:v>6719</c:v>
                </c:pt>
                <c:pt idx="101">
                  <c:v>6941</c:v>
                </c:pt>
                <c:pt idx="102">
                  <c:v>7238</c:v>
                </c:pt>
                <c:pt idx="103">
                  <c:v>7361</c:v>
                </c:pt>
                <c:pt idx="104">
                  <c:v>7510</c:v>
                </c:pt>
                <c:pt idx="105">
                  <c:v>7391</c:v>
                </c:pt>
                <c:pt idx="106">
                  <c:v>7892</c:v>
                </c:pt>
                <c:pt idx="107">
                  <c:v>7747</c:v>
                </c:pt>
                <c:pt idx="108">
                  <c:v>8117</c:v>
                </c:pt>
                <c:pt idx="109">
                  <c:v>8008</c:v>
                </c:pt>
                <c:pt idx="110">
                  <c:v>8360</c:v>
                </c:pt>
                <c:pt idx="111">
                  <c:v>8424</c:v>
                </c:pt>
                <c:pt idx="112">
                  <c:v>8644</c:v>
                </c:pt>
                <c:pt idx="113">
                  <c:v>8757</c:v>
                </c:pt>
                <c:pt idx="114">
                  <c:v>8737</c:v>
                </c:pt>
                <c:pt idx="115">
                  <c:v>8886</c:v>
                </c:pt>
                <c:pt idx="116">
                  <c:v>9220</c:v>
                </c:pt>
                <c:pt idx="117">
                  <c:v>9399</c:v>
                </c:pt>
                <c:pt idx="118">
                  <c:v>9585</c:v>
                </c:pt>
                <c:pt idx="119">
                  <c:v>9983</c:v>
                </c:pt>
                <c:pt idx="120">
                  <c:v>9929</c:v>
                </c:pt>
                <c:pt idx="121">
                  <c:v>10134</c:v>
                </c:pt>
                <c:pt idx="122">
                  <c:v>10106</c:v>
                </c:pt>
                <c:pt idx="123">
                  <c:v>10166</c:v>
                </c:pt>
                <c:pt idx="124">
                  <c:v>10627</c:v>
                </c:pt>
                <c:pt idx="125">
                  <c:v>10735</c:v>
                </c:pt>
                <c:pt idx="126">
                  <c:v>10746</c:v>
                </c:pt>
                <c:pt idx="127">
                  <c:v>10848</c:v>
                </c:pt>
                <c:pt idx="128">
                  <c:v>11242</c:v>
                </c:pt>
                <c:pt idx="129">
                  <c:v>11377</c:v>
                </c:pt>
                <c:pt idx="130">
                  <c:v>11692</c:v>
                </c:pt>
                <c:pt idx="131">
                  <c:v>11722</c:v>
                </c:pt>
                <c:pt idx="132">
                  <c:v>12050</c:v>
                </c:pt>
                <c:pt idx="133">
                  <c:v>12102</c:v>
                </c:pt>
                <c:pt idx="134">
                  <c:v>12441</c:v>
                </c:pt>
                <c:pt idx="135">
                  <c:v>12361</c:v>
                </c:pt>
                <c:pt idx="136">
                  <c:v>13016</c:v>
                </c:pt>
                <c:pt idx="137">
                  <c:v>12957</c:v>
                </c:pt>
                <c:pt idx="138">
                  <c:v>12698</c:v>
                </c:pt>
                <c:pt idx="139">
                  <c:v>12989</c:v>
                </c:pt>
                <c:pt idx="140">
                  <c:v>13123</c:v>
                </c:pt>
                <c:pt idx="141">
                  <c:v>13695</c:v>
                </c:pt>
                <c:pt idx="142">
                  <c:v>14297</c:v>
                </c:pt>
                <c:pt idx="143">
                  <c:v>13932</c:v>
                </c:pt>
                <c:pt idx="144">
                  <c:v>14154</c:v>
                </c:pt>
                <c:pt idx="145">
                  <c:v>14132</c:v>
                </c:pt>
                <c:pt idx="146">
                  <c:v>14232</c:v>
                </c:pt>
                <c:pt idx="147">
                  <c:v>14517</c:v>
                </c:pt>
                <c:pt idx="148">
                  <c:v>15041</c:v>
                </c:pt>
                <c:pt idx="149">
                  <c:v>15177</c:v>
                </c:pt>
                <c:pt idx="150">
                  <c:v>15254</c:v>
                </c:pt>
                <c:pt idx="151">
                  <c:v>15467</c:v>
                </c:pt>
                <c:pt idx="152">
                  <c:v>15859</c:v>
                </c:pt>
                <c:pt idx="153">
                  <c:v>15845</c:v>
                </c:pt>
                <c:pt idx="154">
                  <c:v>16342</c:v>
                </c:pt>
                <c:pt idx="155">
                  <c:v>16522</c:v>
                </c:pt>
                <c:pt idx="156">
                  <c:v>17218</c:v>
                </c:pt>
                <c:pt idx="157">
                  <c:v>16811</c:v>
                </c:pt>
                <c:pt idx="158">
                  <c:v>16923</c:v>
                </c:pt>
                <c:pt idx="159">
                  <c:v>17057</c:v>
                </c:pt>
                <c:pt idx="160">
                  <c:v>17630</c:v>
                </c:pt>
                <c:pt idx="161">
                  <c:v>17380</c:v>
                </c:pt>
                <c:pt idx="162">
                  <c:v>17635</c:v>
                </c:pt>
                <c:pt idx="163">
                  <c:v>17537</c:v>
                </c:pt>
                <c:pt idx="164">
                  <c:v>18082</c:v>
                </c:pt>
                <c:pt idx="165">
                  <c:v>18514</c:v>
                </c:pt>
                <c:pt idx="166">
                  <c:v>18879</c:v>
                </c:pt>
                <c:pt idx="167">
                  <c:v>18966</c:v>
                </c:pt>
                <c:pt idx="168">
                  <c:v>19083</c:v>
                </c:pt>
                <c:pt idx="169">
                  <c:v>19742</c:v>
                </c:pt>
                <c:pt idx="170">
                  <c:v>19749</c:v>
                </c:pt>
                <c:pt idx="171">
                  <c:v>19657</c:v>
                </c:pt>
                <c:pt idx="172">
                  <c:v>20083</c:v>
                </c:pt>
                <c:pt idx="173">
                  <c:v>20090</c:v>
                </c:pt>
                <c:pt idx="174">
                  <c:v>20346</c:v>
                </c:pt>
                <c:pt idx="175">
                  <c:v>21022</c:v>
                </c:pt>
                <c:pt idx="176">
                  <c:v>20916</c:v>
                </c:pt>
                <c:pt idx="177">
                  <c:v>20892</c:v>
                </c:pt>
                <c:pt idx="178">
                  <c:v>21514</c:v>
                </c:pt>
                <c:pt idx="179">
                  <c:v>21506</c:v>
                </c:pt>
                <c:pt idx="180">
                  <c:v>21610</c:v>
                </c:pt>
                <c:pt idx="181">
                  <c:v>22171</c:v>
                </c:pt>
                <c:pt idx="182">
                  <c:v>22692</c:v>
                </c:pt>
                <c:pt idx="183">
                  <c:v>22514</c:v>
                </c:pt>
                <c:pt idx="184">
                  <c:v>23063</c:v>
                </c:pt>
                <c:pt idx="185">
                  <c:v>23004</c:v>
                </c:pt>
                <c:pt idx="186">
                  <c:v>23031</c:v>
                </c:pt>
                <c:pt idx="187">
                  <c:v>24220</c:v>
                </c:pt>
                <c:pt idx="188">
                  <c:v>23744</c:v>
                </c:pt>
                <c:pt idx="189">
                  <c:v>24024</c:v>
                </c:pt>
                <c:pt idx="190">
                  <c:v>24507</c:v>
                </c:pt>
                <c:pt idx="191">
                  <c:v>24607</c:v>
                </c:pt>
                <c:pt idx="192">
                  <c:v>25251</c:v>
                </c:pt>
                <c:pt idx="193">
                  <c:v>25229</c:v>
                </c:pt>
                <c:pt idx="194">
                  <c:v>25426</c:v>
                </c:pt>
                <c:pt idx="195">
                  <c:v>25884</c:v>
                </c:pt>
                <c:pt idx="196">
                  <c:v>25860</c:v>
                </c:pt>
                <c:pt idx="197">
                  <c:v>26219</c:v>
                </c:pt>
                <c:pt idx="198">
                  <c:v>26622</c:v>
                </c:pt>
                <c:pt idx="199">
                  <c:v>26797</c:v>
                </c:pt>
                <c:pt idx="200">
                  <c:v>26992</c:v>
                </c:pt>
                <c:pt idx="201">
                  <c:v>26825</c:v>
                </c:pt>
                <c:pt idx="202">
                  <c:v>27439</c:v>
                </c:pt>
                <c:pt idx="203">
                  <c:v>28184</c:v>
                </c:pt>
                <c:pt idx="204">
                  <c:v>28416</c:v>
                </c:pt>
                <c:pt idx="205">
                  <c:v>28867</c:v>
                </c:pt>
                <c:pt idx="206">
                  <c:v>29174</c:v>
                </c:pt>
                <c:pt idx="207">
                  <c:v>28869</c:v>
                </c:pt>
                <c:pt idx="208">
                  <c:v>29227</c:v>
                </c:pt>
                <c:pt idx="209">
                  <c:v>29138</c:v>
                </c:pt>
                <c:pt idx="210">
                  <c:v>29862</c:v>
                </c:pt>
                <c:pt idx="211">
                  <c:v>30273</c:v>
                </c:pt>
                <c:pt idx="212">
                  <c:v>30216</c:v>
                </c:pt>
                <c:pt idx="213">
                  <c:v>30794</c:v>
                </c:pt>
                <c:pt idx="214">
                  <c:v>30824</c:v>
                </c:pt>
                <c:pt idx="215">
                  <c:v>31484</c:v>
                </c:pt>
                <c:pt idx="216">
                  <c:v>31904</c:v>
                </c:pt>
                <c:pt idx="217">
                  <c:v>31136</c:v>
                </c:pt>
                <c:pt idx="218">
                  <c:v>32157</c:v>
                </c:pt>
                <c:pt idx="219">
                  <c:v>32483</c:v>
                </c:pt>
                <c:pt idx="220">
                  <c:v>33046</c:v>
                </c:pt>
                <c:pt idx="221">
                  <c:v>32644</c:v>
                </c:pt>
                <c:pt idx="222">
                  <c:v>33298</c:v>
                </c:pt>
                <c:pt idx="223">
                  <c:v>34380</c:v>
                </c:pt>
                <c:pt idx="224">
                  <c:v>33330</c:v>
                </c:pt>
                <c:pt idx="225">
                  <c:v>33250</c:v>
                </c:pt>
                <c:pt idx="226">
                  <c:v>34803</c:v>
                </c:pt>
                <c:pt idx="227">
                  <c:v>34533</c:v>
                </c:pt>
                <c:pt idx="228">
                  <c:v>35599</c:v>
                </c:pt>
                <c:pt idx="229">
                  <c:v>35465</c:v>
                </c:pt>
                <c:pt idx="230">
                  <c:v>35887</c:v>
                </c:pt>
                <c:pt idx="231">
                  <c:v>36171</c:v>
                </c:pt>
                <c:pt idx="232">
                  <c:v>36837</c:v>
                </c:pt>
                <c:pt idx="233">
                  <c:v>36376</c:v>
                </c:pt>
                <c:pt idx="234">
                  <c:v>36759</c:v>
                </c:pt>
                <c:pt idx="235">
                  <c:v>37314</c:v>
                </c:pt>
                <c:pt idx="236">
                  <c:v>38252</c:v>
                </c:pt>
                <c:pt idx="237">
                  <c:v>37880</c:v>
                </c:pt>
                <c:pt idx="238">
                  <c:v>38405</c:v>
                </c:pt>
                <c:pt idx="239">
                  <c:v>38520</c:v>
                </c:pt>
                <c:pt idx="240">
                  <c:v>38956</c:v>
                </c:pt>
                <c:pt idx="241">
                  <c:v>38853</c:v>
                </c:pt>
                <c:pt idx="242">
                  <c:v>39566</c:v>
                </c:pt>
                <c:pt idx="243">
                  <c:v>40188</c:v>
                </c:pt>
                <c:pt idx="244">
                  <c:v>40246</c:v>
                </c:pt>
                <c:pt idx="245">
                  <c:v>40933</c:v>
                </c:pt>
                <c:pt idx="246">
                  <c:v>41410</c:v>
                </c:pt>
                <c:pt idx="247">
                  <c:v>40815</c:v>
                </c:pt>
                <c:pt idx="248">
                  <c:v>41555</c:v>
                </c:pt>
                <c:pt idx="249">
                  <c:v>41709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DF-8946-BE80-89E05FA1F51F}"/>
            </c:ext>
          </c:extLst>
        </c:ser>
        <c:ser>
          <c:idx val="3"/>
          <c:order val="3"/>
          <c:tx>
            <c:strRef>
              <c:f>'Lab 3 comparison doc'!$D$1</c:f>
              <c:strCache>
                <c:ptCount val="1"/>
                <c:pt idx="0">
                  <c:v> selection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'Lab 3 comparison doc'!$D$2:$D$251</c:f>
              <c:numCache>
                <c:formatCode>General</c:formatCode>
                <c:ptCount val="250"/>
                <c:pt idx="0">
                  <c:v>4</c:v>
                </c:pt>
                <c:pt idx="1">
                  <c:v>13</c:v>
                </c:pt>
                <c:pt idx="2">
                  <c:v>25</c:v>
                </c:pt>
                <c:pt idx="3">
                  <c:v>42</c:v>
                </c:pt>
                <c:pt idx="4">
                  <c:v>64</c:v>
                </c:pt>
                <c:pt idx="5">
                  <c:v>91</c:v>
                </c:pt>
                <c:pt idx="6">
                  <c:v>120</c:v>
                </c:pt>
                <c:pt idx="7">
                  <c:v>155</c:v>
                </c:pt>
                <c:pt idx="8">
                  <c:v>194</c:v>
                </c:pt>
                <c:pt idx="9">
                  <c:v>238</c:v>
                </c:pt>
                <c:pt idx="10">
                  <c:v>285</c:v>
                </c:pt>
                <c:pt idx="11">
                  <c:v>337</c:v>
                </c:pt>
                <c:pt idx="12">
                  <c:v>370</c:v>
                </c:pt>
                <c:pt idx="13">
                  <c:v>429</c:v>
                </c:pt>
                <c:pt idx="14">
                  <c:v>492</c:v>
                </c:pt>
                <c:pt idx="15">
                  <c:v>556</c:v>
                </c:pt>
                <c:pt idx="16">
                  <c:v>628</c:v>
                </c:pt>
                <c:pt idx="17">
                  <c:v>684</c:v>
                </c:pt>
                <c:pt idx="18">
                  <c:v>737</c:v>
                </c:pt>
                <c:pt idx="19">
                  <c:v>814</c:v>
                </c:pt>
                <c:pt idx="20">
                  <c:v>896</c:v>
                </c:pt>
                <c:pt idx="21">
                  <c:v>934</c:v>
                </c:pt>
                <c:pt idx="22">
                  <c:v>1019</c:v>
                </c:pt>
                <c:pt idx="23">
                  <c:v>1108</c:v>
                </c:pt>
                <c:pt idx="24">
                  <c:v>1145</c:v>
                </c:pt>
                <c:pt idx="25">
                  <c:v>1234</c:v>
                </c:pt>
                <c:pt idx="26">
                  <c:v>1269</c:v>
                </c:pt>
                <c:pt idx="27">
                  <c:v>1364</c:v>
                </c:pt>
                <c:pt idx="28">
                  <c:v>1396</c:v>
                </c:pt>
                <c:pt idx="29">
                  <c:v>1493</c:v>
                </c:pt>
                <c:pt idx="30">
                  <c:v>1530</c:v>
                </c:pt>
                <c:pt idx="31">
                  <c:v>1633</c:v>
                </c:pt>
                <c:pt idx="32">
                  <c:v>1659</c:v>
                </c:pt>
                <c:pt idx="33">
                  <c:v>1692</c:v>
                </c:pt>
                <c:pt idx="34">
                  <c:v>1791</c:v>
                </c:pt>
                <c:pt idx="35">
                  <c:v>1819</c:v>
                </c:pt>
                <c:pt idx="36">
                  <c:v>1852</c:v>
                </c:pt>
                <c:pt idx="37">
                  <c:v>1954</c:v>
                </c:pt>
                <c:pt idx="38">
                  <c:v>1984</c:v>
                </c:pt>
                <c:pt idx="39">
                  <c:v>2017</c:v>
                </c:pt>
                <c:pt idx="40">
                  <c:v>2067</c:v>
                </c:pt>
                <c:pt idx="41">
                  <c:v>2149</c:v>
                </c:pt>
                <c:pt idx="42">
                  <c:v>2186</c:v>
                </c:pt>
                <c:pt idx="43">
                  <c:v>2215</c:v>
                </c:pt>
                <c:pt idx="44">
                  <c:v>2251</c:v>
                </c:pt>
                <c:pt idx="45">
                  <c:v>2283</c:v>
                </c:pt>
                <c:pt idx="46">
                  <c:v>2367</c:v>
                </c:pt>
                <c:pt idx="47">
                  <c:v>2412</c:v>
                </c:pt>
                <c:pt idx="48">
                  <c:v>2446</c:v>
                </c:pt>
                <c:pt idx="49">
                  <c:v>2485</c:v>
                </c:pt>
                <c:pt idx="50">
                  <c:v>2516</c:v>
                </c:pt>
                <c:pt idx="51">
                  <c:v>2608</c:v>
                </c:pt>
                <c:pt idx="52">
                  <c:v>2709</c:v>
                </c:pt>
                <c:pt idx="53">
                  <c:v>2810</c:v>
                </c:pt>
                <c:pt idx="54">
                  <c:v>2918</c:v>
                </c:pt>
                <c:pt idx="55">
                  <c:v>3021</c:v>
                </c:pt>
                <c:pt idx="56">
                  <c:v>3133</c:v>
                </c:pt>
                <c:pt idx="57">
                  <c:v>3241</c:v>
                </c:pt>
                <c:pt idx="58">
                  <c:v>3354</c:v>
                </c:pt>
                <c:pt idx="59">
                  <c:v>3460</c:v>
                </c:pt>
                <c:pt idx="60">
                  <c:v>3581</c:v>
                </c:pt>
                <c:pt idx="61">
                  <c:v>3702</c:v>
                </c:pt>
                <c:pt idx="62">
                  <c:v>3820</c:v>
                </c:pt>
                <c:pt idx="63">
                  <c:v>3939</c:v>
                </c:pt>
                <c:pt idx="64">
                  <c:v>4061</c:v>
                </c:pt>
                <c:pt idx="65">
                  <c:v>4191</c:v>
                </c:pt>
                <c:pt idx="66">
                  <c:v>4317</c:v>
                </c:pt>
                <c:pt idx="67">
                  <c:v>4446</c:v>
                </c:pt>
                <c:pt idx="68">
                  <c:v>4573</c:v>
                </c:pt>
                <c:pt idx="69">
                  <c:v>4706</c:v>
                </c:pt>
                <c:pt idx="70">
                  <c:v>4843</c:v>
                </c:pt>
                <c:pt idx="71">
                  <c:v>4976</c:v>
                </c:pt>
                <c:pt idx="72">
                  <c:v>5114</c:v>
                </c:pt>
                <c:pt idx="73">
                  <c:v>5255</c:v>
                </c:pt>
                <c:pt idx="74">
                  <c:v>5401</c:v>
                </c:pt>
                <c:pt idx="75">
                  <c:v>5542</c:v>
                </c:pt>
                <c:pt idx="76">
                  <c:v>5687</c:v>
                </c:pt>
                <c:pt idx="77">
                  <c:v>5834</c:v>
                </c:pt>
                <c:pt idx="78">
                  <c:v>5982</c:v>
                </c:pt>
                <c:pt idx="79">
                  <c:v>6131</c:v>
                </c:pt>
                <c:pt idx="80">
                  <c:v>6292</c:v>
                </c:pt>
                <c:pt idx="81">
                  <c:v>6442</c:v>
                </c:pt>
                <c:pt idx="82">
                  <c:v>6608</c:v>
                </c:pt>
                <c:pt idx="83">
                  <c:v>6760</c:v>
                </c:pt>
                <c:pt idx="84">
                  <c:v>6931</c:v>
                </c:pt>
                <c:pt idx="85">
                  <c:v>7086</c:v>
                </c:pt>
                <c:pt idx="86">
                  <c:v>7256</c:v>
                </c:pt>
                <c:pt idx="87">
                  <c:v>7413</c:v>
                </c:pt>
                <c:pt idx="88">
                  <c:v>7590</c:v>
                </c:pt>
                <c:pt idx="89">
                  <c:v>7759</c:v>
                </c:pt>
                <c:pt idx="90">
                  <c:v>7925</c:v>
                </c:pt>
                <c:pt idx="91">
                  <c:v>8099</c:v>
                </c:pt>
                <c:pt idx="92">
                  <c:v>8278</c:v>
                </c:pt>
                <c:pt idx="93">
                  <c:v>8455</c:v>
                </c:pt>
                <c:pt idx="94">
                  <c:v>8632</c:v>
                </c:pt>
                <c:pt idx="95">
                  <c:v>8812</c:v>
                </c:pt>
                <c:pt idx="96">
                  <c:v>8997</c:v>
                </c:pt>
                <c:pt idx="97">
                  <c:v>9191</c:v>
                </c:pt>
                <c:pt idx="98">
                  <c:v>9411</c:v>
                </c:pt>
                <c:pt idx="99">
                  <c:v>9561</c:v>
                </c:pt>
                <c:pt idx="100">
                  <c:v>9754</c:v>
                </c:pt>
                <c:pt idx="101">
                  <c:v>9949</c:v>
                </c:pt>
                <c:pt idx="102">
                  <c:v>10139</c:v>
                </c:pt>
                <c:pt idx="103">
                  <c:v>10336</c:v>
                </c:pt>
                <c:pt idx="104">
                  <c:v>10536</c:v>
                </c:pt>
                <c:pt idx="105">
                  <c:v>10738</c:v>
                </c:pt>
                <c:pt idx="106">
                  <c:v>10939</c:v>
                </c:pt>
                <c:pt idx="107">
                  <c:v>11136</c:v>
                </c:pt>
                <c:pt idx="108">
                  <c:v>11357</c:v>
                </c:pt>
                <c:pt idx="109">
                  <c:v>11556</c:v>
                </c:pt>
                <c:pt idx="110">
                  <c:v>11783</c:v>
                </c:pt>
                <c:pt idx="111">
                  <c:v>11971</c:v>
                </c:pt>
                <c:pt idx="112">
                  <c:v>12186</c:v>
                </c:pt>
                <c:pt idx="113">
                  <c:v>12409</c:v>
                </c:pt>
                <c:pt idx="114">
                  <c:v>12636</c:v>
                </c:pt>
                <c:pt idx="115">
                  <c:v>12854</c:v>
                </c:pt>
                <c:pt idx="116">
                  <c:v>13064</c:v>
                </c:pt>
                <c:pt idx="117">
                  <c:v>13309</c:v>
                </c:pt>
                <c:pt idx="118">
                  <c:v>13519</c:v>
                </c:pt>
                <c:pt idx="119">
                  <c:v>13802</c:v>
                </c:pt>
                <c:pt idx="120">
                  <c:v>13971</c:v>
                </c:pt>
                <c:pt idx="121">
                  <c:v>14203</c:v>
                </c:pt>
                <c:pt idx="122">
                  <c:v>14432</c:v>
                </c:pt>
                <c:pt idx="123">
                  <c:v>14667</c:v>
                </c:pt>
                <c:pt idx="124">
                  <c:v>14904</c:v>
                </c:pt>
                <c:pt idx="125">
                  <c:v>15151</c:v>
                </c:pt>
                <c:pt idx="126">
                  <c:v>15398</c:v>
                </c:pt>
                <c:pt idx="127">
                  <c:v>15630</c:v>
                </c:pt>
                <c:pt idx="128">
                  <c:v>15877</c:v>
                </c:pt>
                <c:pt idx="129">
                  <c:v>16133</c:v>
                </c:pt>
                <c:pt idx="130">
                  <c:v>16363</c:v>
                </c:pt>
                <c:pt idx="131">
                  <c:v>16613</c:v>
                </c:pt>
                <c:pt idx="132">
                  <c:v>16882</c:v>
                </c:pt>
                <c:pt idx="133">
                  <c:v>17129</c:v>
                </c:pt>
                <c:pt idx="134">
                  <c:v>17372</c:v>
                </c:pt>
                <c:pt idx="135">
                  <c:v>17653</c:v>
                </c:pt>
                <c:pt idx="136">
                  <c:v>17917</c:v>
                </c:pt>
                <c:pt idx="137">
                  <c:v>18156</c:v>
                </c:pt>
                <c:pt idx="138">
                  <c:v>18429</c:v>
                </c:pt>
                <c:pt idx="139">
                  <c:v>18681</c:v>
                </c:pt>
                <c:pt idx="140">
                  <c:v>18948</c:v>
                </c:pt>
                <c:pt idx="141">
                  <c:v>19213</c:v>
                </c:pt>
                <c:pt idx="142">
                  <c:v>19480</c:v>
                </c:pt>
                <c:pt idx="143">
                  <c:v>19764</c:v>
                </c:pt>
                <c:pt idx="144">
                  <c:v>20054</c:v>
                </c:pt>
                <c:pt idx="145">
                  <c:v>20319</c:v>
                </c:pt>
                <c:pt idx="146">
                  <c:v>20585</c:v>
                </c:pt>
                <c:pt idx="147">
                  <c:v>20876</c:v>
                </c:pt>
                <c:pt idx="148">
                  <c:v>21136</c:v>
                </c:pt>
                <c:pt idx="149">
                  <c:v>21446</c:v>
                </c:pt>
                <c:pt idx="150">
                  <c:v>21727</c:v>
                </c:pt>
                <c:pt idx="151">
                  <c:v>22017</c:v>
                </c:pt>
                <c:pt idx="152">
                  <c:v>22314</c:v>
                </c:pt>
                <c:pt idx="153">
                  <c:v>22595</c:v>
                </c:pt>
                <c:pt idx="154">
                  <c:v>22903</c:v>
                </c:pt>
                <c:pt idx="155">
                  <c:v>23178</c:v>
                </c:pt>
                <c:pt idx="156">
                  <c:v>23645</c:v>
                </c:pt>
                <c:pt idx="157">
                  <c:v>23783</c:v>
                </c:pt>
                <c:pt idx="158">
                  <c:v>24074</c:v>
                </c:pt>
                <c:pt idx="159">
                  <c:v>24382</c:v>
                </c:pt>
                <c:pt idx="160">
                  <c:v>24696</c:v>
                </c:pt>
                <c:pt idx="161">
                  <c:v>25000</c:v>
                </c:pt>
                <c:pt idx="162">
                  <c:v>25292</c:v>
                </c:pt>
                <c:pt idx="163">
                  <c:v>25602</c:v>
                </c:pt>
                <c:pt idx="164">
                  <c:v>25919</c:v>
                </c:pt>
                <c:pt idx="165">
                  <c:v>26236</c:v>
                </c:pt>
                <c:pt idx="166">
                  <c:v>26584</c:v>
                </c:pt>
                <c:pt idx="167">
                  <c:v>26849</c:v>
                </c:pt>
                <c:pt idx="168">
                  <c:v>27191</c:v>
                </c:pt>
                <c:pt idx="169">
                  <c:v>27519</c:v>
                </c:pt>
                <c:pt idx="170">
                  <c:v>27863</c:v>
                </c:pt>
                <c:pt idx="171">
                  <c:v>28142</c:v>
                </c:pt>
                <c:pt idx="172">
                  <c:v>28472</c:v>
                </c:pt>
                <c:pt idx="173">
                  <c:v>28821</c:v>
                </c:pt>
                <c:pt idx="174">
                  <c:v>29152</c:v>
                </c:pt>
                <c:pt idx="175">
                  <c:v>29479</c:v>
                </c:pt>
                <c:pt idx="176">
                  <c:v>29816</c:v>
                </c:pt>
                <c:pt idx="177">
                  <c:v>30156</c:v>
                </c:pt>
                <c:pt idx="178">
                  <c:v>30475</c:v>
                </c:pt>
                <c:pt idx="179">
                  <c:v>30828</c:v>
                </c:pt>
                <c:pt idx="180">
                  <c:v>31220</c:v>
                </c:pt>
                <c:pt idx="181">
                  <c:v>31507</c:v>
                </c:pt>
                <c:pt idx="182">
                  <c:v>31881</c:v>
                </c:pt>
                <c:pt idx="183">
                  <c:v>32203</c:v>
                </c:pt>
                <c:pt idx="184">
                  <c:v>32566</c:v>
                </c:pt>
                <c:pt idx="185">
                  <c:v>32925</c:v>
                </c:pt>
                <c:pt idx="186">
                  <c:v>33284</c:v>
                </c:pt>
                <c:pt idx="187">
                  <c:v>33670</c:v>
                </c:pt>
                <c:pt idx="188">
                  <c:v>33965</c:v>
                </c:pt>
                <c:pt idx="189">
                  <c:v>34343</c:v>
                </c:pt>
                <c:pt idx="190">
                  <c:v>34713</c:v>
                </c:pt>
                <c:pt idx="191">
                  <c:v>35047</c:v>
                </c:pt>
                <c:pt idx="192">
                  <c:v>35434</c:v>
                </c:pt>
                <c:pt idx="193">
                  <c:v>35797</c:v>
                </c:pt>
                <c:pt idx="194">
                  <c:v>36152</c:v>
                </c:pt>
                <c:pt idx="195">
                  <c:v>36528</c:v>
                </c:pt>
                <c:pt idx="196">
                  <c:v>36901</c:v>
                </c:pt>
                <c:pt idx="197">
                  <c:v>37290</c:v>
                </c:pt>
                <c:pt idx="198">
                  <c:v>37653</c:v>
                </c:pt>
                <c:pt idx="199">
                  <c:v>38045</c:v>
                </c:pt>
                <c:pt idx="200">
                  <c:v>38421</c:v>
                </c:pt>
                <c:pt idx="201">
                  <c:v>38805</c:v>
                </c:pt>
                <c:pt idx="202">
                  <c:v>39191</c:v>
                </c:pt>
                <c:pt idx="203">
                  <c:v>39571</c:v>
                </c:pt>
                <c:pt idx="204">
                  <c:v>39979</c:v>
                </c:pt>
                <c:pt idx="205">
                  <c:v>40353</c:v>
                </c:pt>
                <c:pt idx="206">
                  <c:v>40731</c:v>
                </c:pt>
                <c:pt idx="207">
                  <c:v>41132</c:v>
                </c:pt>
                <c:pt idx="208">
                  <c:v>41505</c:v>
                </c:pt>
                <c:pt idx="209">
                  <c:v>41941</c:v>
                </c:pt>
                <c:pt idx="210">
                  <c:v>42322</c:v>
                </c:pt>
                <c:pt idx="211">
                  <c:v>42712</c:v>
                </c:pt>
                <c:pt idx="212">
                  <c:v>43139</c:v>
                </c:pt>
                <c:pt idx="213">
                  <c:v>43524</c:v>
                </c:pt>
                <c:pt idx="214">
                  <c:v>43931</c:v>
                </c:pt>
                <c:pt idx="215">
                  <c:v>44361</c:v>
                </c:pt>
                <c:pt idx="216">
                  <c:v>44726</c:v>
                </c:pt>
                <c:pt idx="217">
                  <c:v>45221</c:v>
                </c:pt>
                <c:pt idx="218">
                  <c:v>45584</c:v>
                </c:pt>
                <c:pt idx="219">
                  <c:v>46011</c:v>
                </c:pt>
                <c:pt idx="220">
                  <c:v>46439</c:v>
                </c:pt>
                <c:pt idx="221">
                  <c:v>46844</c:v>
                </c:pt>
                <c:pt idx="222">
                  <c:v>47243</c:v>
                </c:pt>
                <c:pt idx="223">
                  <c:v>47685</c:v>
                </c:pt>
                <c:pt idx="224">
                  <c:v>48086</c:v>
                </c:pt>
                <c:pt idx="225">
                  <c:v>48539</c:v>
                </c:pt>
                <c:pt idx="226">
                  <c:v>48956</c:v>
                </c:pt>
                <c:pt idx="227">
                  <c:v>49389</c:v>
                </c:pt>
                <c:pt idx="228">
                  <c:v>49789</c:v>
                </c:pt>
                <c:pt idx="229">
                  <c:v>50250</c:v>
                </c:pt>
                <c:pt idx="230">
                  <c:v>50680</c:v>
                </c:pt>
                <c:pt idx="231">
                  <c:v>51145</c:v>
                </c:pt>
                <c:pt idx="232">
                  <c:v>51590</c:v>
                </c:pt>
                <c:pt idx="233">
                  <c:v>52018</c:v>
                </c:pt>
                <c:pt idx="234">
                  <c:v>52484</c:v>
                </c:pt>
                <c:pt idx="235">
                  <c:v>52923</c:v>
                </c:pt>
                <c:pt idx="236">
                  <c:v>53356</c:v>
                </c:pt>
                <c:pt idx="237">
                  <c:v>53831</c:v>
                </c:pt>
                <c:pt idx="238">
                  <c:v>54296</c:v>
                </c:pt>
                <c:pt idx="239">
                  <c:v>54701</c:v>
                </c:pt>
                <c:pt idx="240">
                  <c:v>55180</c:v>
                </c:pt>
                <c:pt idx="241">
                  <c:v>55620</c:v>
                </c:pt>
                <c:pt idx="242">
                  <c:v>56114</c:v>
                </c:pt>
                <c:pt idx="243">
                  <c:v>56536</c:v>
                </c:pt>
                <c:pt idx="244">
                  <c:v>56989</c:v>
                </c:pt>
                <c:pt idx="245">
                  <c:v>57473</c:v>
                </c:pt>
                <c:pt idx="246">
                  <c:v>57950</c:v>
                </c:pt>
                <c:pt idx="247">
                  <c:v>58386</c:v>
                </c:pt>
                <c:pt idx="248">
                  <c:v>58882</c:v>
                </c:pt>
                <c:pt idx="249">
                  <c:v>59367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DF-8946-BE80-89E05FA1F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7353887"/>
        <c:axId val="1264694095"/>
      </c:lineChart>
      <c:catAx>
        <c:axId val="12073538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694095"/>
        <c:crosses val="autoZero"/>
        <c:auto val="1"/>
        <c:lblAlgn val="ctr"/>
        <c:lblOffset val="100"/>
        <c:noMultiLvlLbl val="0"/>
      </c:catAx>
      <c:valAx>
        <c:axId val="126469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73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2</xdr:row>
      <xdr:rowOff>0</xdr:rowOff>
    </xdr:from>
    <xdr:to>
      <xdr:col>17</xdr:col>
      <xdr:colOff>228600</xdr:colOff>
      <xdr:row>28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7B416C-89D4-B149-827E-B3ABF06978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30</xdr:row>
      <xdr:rowOff>50800</xdr:rowOff>
    </xdr:from>
    <xdr:to>
      <xdr:col>17</xdr:col>
      <xdr:colOff>495300</xdr:colOff>
      <xdr:row>53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3227187-57B8-7B45-9791-7A677A2F890F}"/>
            </a:ext>
          </a:extLst>
        </xdr:cNvPr>
        <xdr:cNvSpPr txBox="1"/>
      </xdr:nvSpPr>
      <xdr:spPr>
        <a:xfrm>
          <a:off x="6159500" y="6146800"/>
          <a:ext cx="8369300" cy="4699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Chart Analysis and Obersvations</a:t>
          </a:r>
        </a:p>
        <a:p>
          <a:endParaRPr lang="en-US" sz="1100"/>
        </a:p>
        <a:p>
          <a:r>
            <a:rPr lang="en-US" sz="1100"/>
            <a:t>1) From the chart above we can see that bubble</a:t>
          </a:r>
          <a:r>
            <a:rPr lang="en-US" sz="1100" baseline="0"/>
            <a:t> sort increases rapidly with time.</a:t>
          </a:r>
        </a:p>
        <a:p>
          <a:r>
            <a:rPr lang="en-US" sz="1100" baseline="0"/>
            <a:t>Insertion sort has a slow gradual progression in time peaking close to 40000 milliseconds.</a:t>
          </a:r>
        </a:p>
        <a:p>
          <a:r>
            <a:rPr lang="en-US" sz="1100" baseline="0"/>
            <a:t>Selection sort comes slightly above insertions sort time.</a:t>
          </a:r>
        </a:p>
        <a:p>
          <a:endParaRPr lang="en-US" sz="1100" baseline="0"/>
        </a:p>
        <a:p>
          <a:r>
            <a:rPr lang="en-US" sz="1100" baseline="0"/>
            <a:t>2) Next step to analysis I would take the each output for sort and divide it by differtent time complexities.</a:t>
          </a:r>
        </a:p>
        <a:p>
          <a:r>
            <a:rPr lang="en-US" sz="1100" baseline="0"/>
            <a:t>sort/n, sort/ (n^2),  sort/(n log n) and plot each sort seperately to compare which line it comes closest to.</a:t>
          </a:r>
        </a:p>
        <a:p>
          <a:endParaRPr lang="en-US" sz="1100" baseline="0"/>
        </a:p>
        <a:p>
          <a:r>
            <a:rPr lang="en-US" sz="1100" baseline="0"/>
            <a:t>3) Any sort / time complexity that give a constant number is the true time compexity.  Again due to lack of time</a:t>
          </a:r>
        </a:p>
        <a:p>
          <a:r>
            <a:rPr lang="en-US" sz="1100" baseline="0"/>
            <a:t>this was as far as I was able to get.  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251"/>
  <sheetViews>
    <sheetView tabSelected="1" topLeftCell="A13" zoomScaleNormal="100" workbookViewId="0">
      <selection activeCell="K10" sqref="K10"/>
    </sheetView>
  </sheetViews>
  <sheetFormatPr baseColWidth="10" defaultRowHeight="16" x14ac:dyDescent="0.2"/>
  <cols>
    <col min="1" max="7" width="10.83203125" style="4"/>
    <col min="8" max="10" width="10.83203125" style="2"/>
    <col min="11" max="13" width="10.83203125" style="1"/>
    <col min="14" max="16" width="10.83203125" style="3"/>
  </cols>
  <sheetData>
    <row r="1" spans="1:16" x14ac:dyDescent="0.2">
      <c r="A1" s="4" t="s">
        <v>5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6</v>
      </c>
      <c r="G1" s="4" t="s">
        <v>4</v>
      </c>
      <c r="H1" s="2" t="s">
        <v>7</v>
      </c>
      <c r="I1" s="2" t="s">
        <v>8</v>
      </c>
      <c r="J1" s="2" t="s">
        <v>9</v>
      </c>
      <c r="K1" s="1" t="s">
        <v>10</v>
      </c>
      <c r="L1" s="1" t="s">
        <v>11</v>
      </c>
      <c r="M1" s="1" t="s">
        <v>12</v>
      </c>
      <c r="N1" s="3" t="s">
        <v>13</v>
      </c>
      <c r="O1" s="3" t="s">
        <v>14</v>
      </c>
      <c r="P1" s="3" t="s">
        <v>15</v>
      </c>
    </row>
    <row r="2" spans="1:16" x14ac:dyDescent="0.2">
      <c r="A2" s="4">
        <v>20</v>
      </c>
      <c r="B2" s="4">
        <v>6</v>
      </c>
      <c r="C2" s="4">
        <v>3</v>
      </c>
      <c r="D2" s="4">
        <v>4</v>
      </c>
      <c r="E2" s="4">
        <f>A2</f>
        <v>20</v>
      </c>
      <c r="F2" s="4">
        <f>A2 * A2</f>
        <v>400</v>
      </c>
      <c r="G2" s="4">
        <f>A2 * LOG(A2, 2)</f>
        <v>86.438561897747249</v>
      </c>
      <c r="H2" s="2">
        <f>B2/E2</f>
        <v>0.3</v>
      </c>
      <c r="I2" s="2">
        <f>B2/F2</f>
        <v>1.4999999999999999E-2</v>
      </c>
      <c r="J2" s="2">
        <f>B2/G2</f>
        <v>6.9413463947927745E-2</v>
      </c>
      <c r="K2" s="1">
        <f>C2/E2</f>
        <v>0.15</v>
      </c>
      <c r="L2" s="1">
        <f>C2/F2</f>
        <v>7.4999999999999997E-3</v>
      </c>
      <c r="M2" s="1">
        <f>C2/G2</f>
        <v>3.4706731973963872E-2</v>
      </c>
      <c r="N2" s="3">
        <f>D2/E2</f>
        <v>0.2</v>
      </c>
      <c r="O2" s="3">
        <f>D2/F2</f>
        <v>0.01</v>
      </c>
      <c r="P2" s="3">
        <f>D2/G2</f>
        <v>4.6275642631951837E-2</v>
      </c>
    </row>
    <row r="3" spans="1:16" x14ac:dyDescent="0.2">
      <c r="A3" s="4">
        <v>40</v>
      </c>
      <c r="B3" s="4">
        <v>20</v>
      </c>
      <c r="C3" s="4">
        <v>8</v>
      </c>
      <c r="D3" s="4">
        <v>13</v>
      </c>
      <c r="E3" s="4">
        <f t="shared" ref="E3:E66" si="0">A3</f>
        <v>40</v>
      </c>
      <c r="F3" s="4">
        <f t="shared" ref="F3:F66" si="1">A3 * A3</f>
        <v>1600</v>
      </c>
      <c r="G3" s="4">
        <f t="shared" ref="G3:G66" si="2">A3 * LOG(A3, 2)</f>
        <v>212.8771237954945</v>
      </c>
      <c r="H3" s="2">
        <f t="shared" ref="H3:H66" si="3">B3/E3</f>
        <v>0.5</v>
      </c>
      <c r="I3" s="2">
        <f t="shared" ref="I3:I66" si="4">B3/F3</f>
        <v>1.2500000000000001E-2</v>
      </c>
      <c r="J3" s="2">
        <f t="shared" ref="J3:J66" si="5">B3/G3</f>
        <v>9.3950912354553787E-2</v>
      </c>
      <c r="K3" s="1">
        <f t="shared" ref="K3:K66" si="6">C3/E3</f>
        <v>0.2</v>
      </c>
      <c r="L3" s="1">
        <f t="shared" ref="L3:L66" si="7">C3/F3</f>
        <v>5.0000000000000001E-3</v>
      </c>
      <c r="M3" s="1">
        <f t="shared" ref="M3:M66" si="8">C3/G3</f>
        <v>3.7580364941821515E-2</v>
      </c>
      <c r="N3" s="3">
        <f t="shared" ref="N3:N66" si="9">D3/E3</f>
        <v>0.32500000000000001</v>
      </c>
      <c r="O3" s="3">
        <f t="shared" ref="O3:O66" si="10">D3/F3</f>
        <v>8.1250000000000003E-3</v>
      </c>
      <c r="P3" s="3">
        <f t="shared" ref="P3:P66" si="11">D3/G3</f>
        <v>6.1068093030459965E-2</v>
      </c>
    </row>
    <row r="4" spans="1:16" x14ac:dyDescent="0.2">
      <c r="A4" s="4">
        <v>60</v>
      </c>
      <c r="B4" s="4">
        <v>44</v>
      </c>
      <c r="C4" s="4">
        <v>18</v>
      </c>
      <c r="D4" s="4">
        <v>25</v>
      </c>
      <c r="E4" s="4">
        <f t="shared" si="0"/>
        <v>60</v>
      </c>
      <c r="F4" s="4">
        <f t="shared" si="1"/>
        <v>3600</v>
      </c>
      <c r="G4" s="4">
        <f t="shared" si="2"/>
        <v>354.41343573651113</v>
      </c>
      <c r="H4" s="2">
        <f t="shared" si="3"/>
        <v>0.73333333333333328</v>
      </c>
      <c r="I4" s="2">
        <f t="shared" si="4"/>
        <v>1.2222222222222223E-2</v>
      </c>
      <c r="J4" s="2">
        <f t="shared" si="5"/>
        <v>0.12414879223910638</v>
      </c>
      <c r="K4" s="1">
        <f t="shared" si="6"/>
        <v>0.3</v>
      </c>
      <c r="L4" s="1">
        <f t="shared" si="7"/>
        <v>5.0000000000000001E-3</v>
      </c>
      <c r="M4" s="1">
        <f t="shared" si="8"/>
        <v>5.0788142279634428E-2</v>
      </c>
      <c r="N4" s="3">
        <f t="shared" si="9"/>
        <v>0.41666666666666669</v>
      </c>
      <c r="O4" s="3">
        <f t="shared" si="10"/>
        <v>6.9444444444444441E-3</v>
      </c>
      <c r="P4" s="3">
        <f t="shared" si="11"/>
        <v>7.0539086499492254E-2</v>
      </c>
    </row>
    <row r="5" spans="1:16" x14ac:dyDescent="0.2">
      <c r="A5" s="4">
        <v>80</v>
      </c>
      <c r="B5" s="4">
        <v>74</v>
      </c>
      <c r="C5" s="4">
        <v>28</v>
      </c>
      <c r="D5" s="4">
        <v>42</v>
      </c>
      <c r="E5" s="4">
        <f t="shared" si="0"/>
        <v>80</v>
      </c>
      <c r="F5" s="4">
        <f t="shared" si="1"/>
        <v>6400</v>
      </c>
      <c r="G5" s="4">
        <f t="shared" si="2"/>
        <v>505.75424759098894</v>
      </c>
      <c r="H5" s="2">
        <f t="shared" si="3"/>
        <v>0.92500000000000004</v>
      </c>
      <c r="I5" s="2">
        <f t="shared" si="4"/>
        <v>1.15625E-2</v>
      </c>
      <c r="J5" s="2">
        <f t="shared" si="5"/>
        <v>0.14631612161929861</v>
      </c>
      <c r="K5" s="1">
        <f t="shared" si="6"/>
        <v>0.35</v>
      </c>
      <c r="L5" s="1">
        <f t="shared" si="7"/>
        <v>4.3750000000000004E-3</v>
      </c>
      <c r="M5" s="1">
        <f t="shared" si="8"/>
        <v>5.53628568289238E-2</v>
      </c>
      <c r="N5" s="3">
        <f t="shared" si="9"/>
        <v>0.52500000000000002</v>
      </c>
      <c r="O5" s="3">
        <f t="shared" si="10"/>
        <v>6.5624999999999998E-3</v>
      </c>
      <c r="P5" s="3">
        <f t="shared" si="11"/>
        <v>8.3044285243385696E-2</v>
      </c>
    </row>
    <row r="6" spans="1:16" x14ac:dyDescent="0.2">
      <c r="A6" s="4">
        <v>100</v>
      </c>
      <c r="B6" s="4">
        <v>117</v>
      </c>
      <c r="C6" s="4">
        <v>45</v>
      </c>
      <c r="D6" s="4">
        <v>64</v>
      </c>
      <c r="E6" s="4">
        <f t="shared" si="0"/>
        <v>100</v>
      </c>
      <c r="F6" s="4">
        <f t="shared" si="1"/>
        <v>10000</v>
      </c>
      <c r="G6" s="4">
        <f t="shared" si="2"/>
        <v>664.38561897747252</v>
      </c>
      <c r="H6" s="2">
        <f t="shared" si="3"/>
        <v>1.17</v>
      </c>
      <c r="I6" s="2">
        <f t="shared" si="4"/>
        <v>1.17E-2</v>
      </c>
      <c r="J6" s="2">
        <f t="shared" si="5"/>
        <v>0.17610254746342899</v>
      </c>
      <c r="K6" s="1">
        <f t="shared" si="6"/>
        <v>0.45</v>
      </c>
      <c r="L6" s="1">
        <f t="shared" si="7"/>
        <v>4.4999999999999997E-3</v>
      </c>
      <c r="M6" s="1">
        <f t="shared" si="8"/>
        <v>6.7731749024395757E-2</v>
      </c>
      <c r="N6" s="3">
        <f t="shared" si="9"/>
        <v>0.64</v>
      </c>
      <c r="O6" s="3">
        <f t="shared" si="10"/>
        <v>6.4000000000000003E-3</v>
      </c>
      <c r="P6" s="3">
        <f t="shared" si="11"/>
        <v>9.6329598612473977E-2</v>
      </c>
    </row>
    <row r="7" spans="1:16" x14ac:dyDescent="0.2">
      <c r="A7" s="4">
        <v>120</v>
      </c>
      <c r="B7" s="4">
        <v>170</v>
      </c>
      <c r="C7" s="4">
        <v>66</v>
      </c>
      <c r="D7" s="4">
        <v>91</v>
      </c>
      <c r="E7" s="4">
        <f t="shared" si="0"/>
        <v>120</v>
      </c>
      <c r="F7" s="4">
        <f t="shared" si="1"/>
        <v>14400</v>
      </c>
      <c r="G7" s="4">
        <f t="shared" si="2"/>
        <v>828.82687147302227</v>
      </c>
      <c r="H7" s="2">
        <f t="shared" si="3"/>
        <v>1.4166666666666667</v>
      </c>
      <c r="I7" s="2">
        <f t="shared" si="4"/>
        <v>1.1805555555555555E-2</v>
      </c>
      <c r="J7" s="2">
        <f t="shared" si="5"/>
        <v>0.20510918003644069</v>
      </c>
      <c r="K7" s="1">
        <f t="shared" si="6"/>
        <v>0.55000000000000004</v>
      </c>
      <c r="L7" s="1">
        <f t="shared" si="7"/>
        <v>4.5833333333333334E-3</v>
      </c>
      <c r="M7" s="1">
        <f t="shared" si="8"/>
        <v>7.9630622837676968E-2</v>
      </c>
      <c r="N7" s="3">
        <f t="shared" si="9"/>
        <v>0.7583333333333333</v>
      </c>
      <c r="O7" s="3">
        <f t="shared" si="10"/>
        <v>6.3194444444444444E-3</v>
      </c>
      <c r="P7" s="3">
        <f t="shared" si="11"/>
        <v>0.10979373754891825</v>
      </c>
    </row>
    <row r="8" spans="1:16" x14ac:dyDescent="0.2">
      <c r="A8" s="4">
        <v>140</v>
      </c>
      <c r="B8" s="4">
        <v>223</v>
      </c>
      <c r="C8" s="4">
        <v>79</v>
      </c>
      <c r="D8" s="4">
        <v>120</v>
      </c>
      <c r="E8" s="4">
        <f t="shared" si="0"/>
        <v>140</v>
      </c>
      <c r="F8" s="4">
        <f t="shared" si="1"/>
        <v>19600</v>
      </c>
      <c r="G8" s="4">
        <f t="shared" si="2"/>
        <v>998.09962237229524</v>
      </c>
      <c r="H8" s="2">
        <f t="shared" si="3"/>
        <v>1.5928571428571427</v>
      </c>
      <c r="I8" s="2">
        <f t="shared" si="4"/>
        <v>1.1377551020408163E-2</v>
      </c>
      <c r="J8" s="2">
        <f t="shared" si="5"/>
        <v>0.22342459109439486</v>
      </c>
      <c r="K8" s="1">
        <f t="shared" si="6"/>
        <v>0.56428571428571428</v>
      </c>
      <c r="L8" s="1">
        <f t="shared" si="7"/>
        <v>4.0306122448979589E-3</v>
      </c>
      <c r="M8" s="1">
        <f t="shared" si="8"/>
        <v>7.9150415679180242E-2</v>
      </c>
      <c r="N8" s="3">
        <f t="shared" si="9"/>
        <v>0.8571428571428571</v>
      </c>
      <c r="O8" s="3">
        <f t="shared" si="10"/>
        <v>6.1224489795918364E-3</v>
      </c>
      <c r="P8" s="3">
        <f t="shared" si="11"/>
        <v>0.12022847951267886</v>
      </c>
    </row>
    <row r="9" spans="1:16" x14ac:dyDescent="0.2">
      <c r="A9" s="4">
        <v>160</v>
      </c>
      <c r="B9" s="4">
        <v>288</v>
      </c>
      <c r="C9" s="4">
        <v>99</v>
      </c>
      <c r="D9" s="4">
        <v>155</v>
      </c>
      <c r="E9" s="4">
        <f t="shared" si="0"/>
        <v>160</v>
      </c>
      <c r="F9" s="4">
        <f t="shared" si="1"/>
        <v>25600</v>
      </c>
      <c r="G9" s="4">
        <f t="shared" si="2"/>
        <v>1171.5084951819779</v>
      </c>
      <c r="H9" s="2">
        <f t="shared" si="3"/>
        <v>1.8</v>
      </c>
      <c r="I9" s="2">
        <f t="shared" si="4"/>
        <v>1.125E-2</v>
      </c>
      <c r="J9" s="2">
        <f t="shared" si="5"/>
        <v>0.24583688567726786</v>
      </c>
      <c r="K9" s="1">
        <f t="shared" si="6"/>
        <v>0.61875000000000002</v>
      </c>
      <c r="L9" s="1">
        <f t="shared" si="7"/>
        <v>3.8671875E-3</v>
      </c>
      <c r="M9" s="1">
        <f t="shared" si="8"/>
        <v>8.4506429451560824E-2</v>
      </c>
      <c r="N9" s="3">
        <f t="shared" si="9"/>
        <v>0.96875</v>
      </c>
      <c r="O9" s="3">
        <f t="shared" si="10"/>
        <v>6.0546875000000002E-3</v>
      </c>
      <c r="P9" s="3">
        <f t="shared" si="11"/>
        <v>0.13230804611102959</v>
      </c>
    </row>
    <row r="10" spans="1:16" x14ac:dyDescent="0.2">
      <c r="A10" s="4">
        <v>180</v>
      </c>
      <c r="B10" s="4">
        <v>372</v>
      </c>
      <c r="C10" s="4">
        <v>140</v>
      </c>
      <c r="D10" s="4">
        <v>194</v>
      </c>
      <c r="E10" s="4">
        <f t="shared" si="0"/>
        <v>180</v>
      </c>
      <c r="F10" s="4">
        <f t="shared" si="1"/>
        <v>32400</v>
      </c>
      <c r="G10" s="4">
        <f t="shared" si="2"/>
        <v>1348.5335573393415</v>
      </c>
      <c r="H10" s="2">
        <f t="shared" si="3"/>
        <v>2.0666666666666669</v>
      </c>
      <c r="I10" s="2">
        <f t="shared" si="4"/>
        <v>1.1481481481481481E-2</v>
      </c>
      <c r="J10" s="2">
        <f t="shared" si="5"/>
        <v>0.27585520432576888</v>
      </c>
      <c r="K10" s="1">
        <f t="shared" si="6"/>
        <v>0.77777777777777779</v>
      </c>
      <c r="L10" s="1">
        <f t="shared" si="7"/>
        <v>4.3209876543209872E-3</v>
      </c>
      <c r="M10" s="1">
        <f t="shared" si="8"/>
        <v>0.1038164747462571</v>
      </c>
      <c r="N10" s="3">
        <f t="shared" si="9"/>
        <v>1.0777777777777777</v>
      </c>
      <c r="O10" s="3">
        <f t="shared" si="10"/>
        <v>5.9876543209876542E-3</v>
      </c>
      <c r="P10" s="3">
        <f t="shared" si="11"/>
        <v>0.14385997214838483</v>
      </c>
    </row>
    <row r="11" spans="1:16" x14ac:dyDescent="0.2">
      <c r="A11" s="4">
        <v>200</v>
      </c>
      <c r="B11" s="4">
        <v>434</v>
      </c>
      <c r="C11" s="4">
        <v>184</v>
      </c>
      <c r="D11" s="4">
        <v>238</v>
      </c>
      <c r="E11" s="4">
        <f t="shared" si="0"/>
        <v>200</v>
      </c>
      <c r="F11" s="4">
        <f t="shared" si="1"/>
        <v>40000</v>
      </c>
      <c r="G11" s="4">
        <f t="shared" si="2"/>
        <v>1528.7712379549448</v>
      </c>
      <c r="H11" s="2">
        <f t="shared" si="3"/>
        <v>2.17</v>
      </c>
      <c r="I11" s="2">
        <f t="shared" si="4"/>
        <v>1.085E-2</v>
      </c>
      <c r="J11" s="2">
        <f t="shared" si="5"/>
        <v>0.28388812480575371</v>
      </c>
      <c r="K11" s="1">
        <f t="shared" si="6"/>
        <v>0.92</v>
      </c>
      <c r="L11" s="1">
        <f t="shared" si="7"/>
        <v>4.5999999999999999E-3</v>
      </c>
      <c r="M11" s="1">
        <f t="shared" si="8"/>
        <v>0.12035809899598776</v>
      </c>
      <c r="N11" s="3">
        <f t="shared" si="9"/>
        <v>1.19</v>
      </c>
      <c r="O11" s="3">
        <f t="shared" si="10"/>
        <v>5.9500000000000004E-3</v>
      </c>
      <c r="P11" s="3">
        <f t="shared" si="11"/>
        <v>0.1556805845708972</v>
      </c>
    </row>
    <row r="12" spans="1:16" x14ac:dyDescent="0.2">
      <c r="A12" s="4">
        <v>220</v>
      </c>
      <c r="B12" s="4">
        <v>548</v>
      </c>
      <c r="C12" s="4">
        <v>197</v>
      </c>
      <c r="D12" s="4">
        <v>285</v>
      </c>
      <c r="E12" s="4">
        <f t="shared" si="0"/>
        <v>220</v>
      </c>
      <c r="F12" s="4">
        <f t="shared" si="1"/>
        <v>48400</v>
      </c>
      <c r="G12" s="4">
        <f t="shared" si="2"/>
        <v>1711.8991369754253</v>
      </c>
      <c r="H12" s="2">
        <f t="shared" si="3"/>
        <v>2.4909090909090907</v>
      </c>
      <c r="I12" s="2">
        <f t="shared" si="4"/>
        <v>1.1322314049586777E-2</v>
      </c>
      <c r="J12" s="2">
        <f t="shared" si="5"/>
        <v>0.32011231746293395</v>
      </c>
      <c r="K12" s="1">
        <f t="shared" si="6"/>
        <v>0.8954545454545455</v>
      </c>
      <c r="L12" s="1">
        <f t="shared" si="7"/>
        <v>4.0702479338842979E-3</v>
      </c>
      <c r="M12" s="1">
        <f t="shared" si="8"/>
        <v>0.11507687324853648</v>
      </c>
      <c r="N12" s="3">
        <f t="shared" si="9"/>
        <v>1.2954545454545454</v>
      </c>
      <c r="O12" s="3">
        <f t="shared" si="10"/>
        <v>5.8884297520661157E-3</v>
      </c>
      <c r="P12" s="3">
        <f t="shared" si="11"/>
        <v>0.16648177094331418</v>
      </c>
    </row>
    <row r="13" spans="1:16" x14ac:dyDescent="0.2">
      <c r="A13" s="4">
        <v>240</v>
      </c>
      <c r="B13" s="4">
        <v>647</v>
      </c>
      <c r="C13" s="4">
        <v>237</v>
      </c>
      <c r="D13" s="4">
        <v>337</v>
      </c>
      <c r="E13" s="4">
        <f t="shared" si="0"/>
        <v>240</v>
      </c>
      <c r="F13" s="4">
        <f t="shared" si="1"/>
        <v>57600</v>
      </c>
      <c r="G13" s="4">
        <f t="shared" si="2"/>
        <v>1897.6537429460445</v>
      </c>
      <c r="H13" s="2">
        <f t="shared" si="3"/>
        <v>2.6958333333333333</v>
      </c>
      <c r="I13" s="2">
        <f t="shared" si="4"/>
        <v>1.1232638888888889E-2</v>
      </c>
      <c r="J13" s="2">
        <f t="shared" si="5"/>
        <v>0.34094734216135447</v>
      </c>
      <c r="K13" s="1">
        <f t="shared" si="6"/>
        <v>0.98750000000000004</v>
      </c>
      <c r="L13" s="1">
        <f t="shared" si="7"/>
        <v>4.1145833333333329E-3</v>
      </c>
      <c r="M13" s="1">
        <f t="shared" si="8"/>
        <v>0.12489106660315456</v>
      </c>
      <c r="N13" s="3">
        <f t="shared" si="9"/>
        <v>1.4041666666666666</v>
      </c>
      <c r="O13" s="3">
        <f t="shared" si="10"/>
        <v>5.8506944444444448E-3</v>
      </c>
      <c r="P13" s="3">
        <f t="shared" si="11"/>
        <v>0.17758771917832528</v>
      </c>
    </row>
    <row r="14" spans="1:16" x14ac:dyDescent="0.2">
      <c r="A14" s="4">
        <v>260</v>
      </c>
      <c r="B14" s="4">
        <v>757</v>
      </c>
      <c r="C14" s="4">
        <v>267</v>
      </c>
      <c r="D14" s="4">
        <v>370</v>
      </c>
      <c r="E14" s="4">
        <f t="shared" si="0"/>
        <v>260</v>
      </c>
      <c r="F14" s="4">
        <f t="shared" si="1"/>
        <v>67600</v>
      </c>
      <c r="G14" s="4">
        <f t="shared" si="2"/>
        <v>2085.8156313873983</v>
      </c>
      <c r="H14" s="2">
        <f t="shared" si="3"/>
        <v>2.9115384615384614</v>
      </c>
      <c r="I14" s="2">
        <f t="shared" si="4"/>
        <v>1.1198224852071005E-2</v>
      </c>
      <c r="J14" s="2">
        <f t="shared" si="5"/>
        <v>0.36292757068680848</v>
      </c>
      <c r="K14" s="1">
        <f t="shared" si="6"/>
        <v>1.0269230769230768</v>
      </c>
      <c r="L14" s="1">
        <f t="shared" si="7"/>
        <v>3.9497041420118346E-3</v>
      </c>
      <c r="M14" s="1">
        <f t="shared" si="8"/>
        <v>0.12800747869666823</v>
      </c>
      <c r="N14" s="3">
        <f t="shared" si="9"/>
        <v>1.4230769230769231</v>
      </c>
      <c r="O14" s="3">
        <f t="shared" si="10"/>
        <v>5.4733727810650891E-3</v>
      </c>
      <c r="P14" s="3">
        <f t="shared" si="11"/>
        <v>0.17738864089051404</v>
      </c>
    </row>
    <row r="15" spans="1:16" x14ac:dyDescent="0.2">
      <c r="A15" s="4">
        <v>280</v>
      </c>
      <c r="B15" s="4">
        <v>837</v>
      </c>
      <c r="C15" s="4">
        <v>304</v>
      </c>
      <c r="D15" s="4">
        <v>429</v>
      </c>
      <c r="E15" s="4">
        <f t="shared" si="0"/>
        <v>280</v>
      </c>
      <c r="F15" s="4">
        <f t="shared" si="1"/>
        <v>78400</v>
      </c>
      <c r="G15" s="4">
        <f t="shared" si="2"/>
        <v>2276.1992447445905</v>
      </c>
      <c r="H15" s="2">
        <f t="shared" si="3"/>
        <v>2.9892857142857143</v>
      </c>
      <c r="I15" s="2">
        <f t="shared" si="4"/>
        <v>1.0676020408163265E-2</v>
      </c>
      <c r="J15" s="2">
        <f t="shared" si="5"/>
        <v>0.36771824871329256</v>
      </c>
      <c r="K15" s="1">
        <f t="shared" si="6"/>
        <v>1.0857142857142856</v>
      </c>
      <c r="L15" s="1">
        <f t="shared" si="7"/>
        <v>3.8775510204081634E-3</v>
      </c>
      <c r="M15" s="1">
        <f t="shared" si="8"/>
        <v>0.13355597085883028</v>
      </c>
      <c r="N15" s="3">
        <f t="shared" si="9"/>
        <v>1.5321428571428573</v>
      </c>
      <c r="O15" s="3">
        <f t="shared" si="10"/>
        <v>5.4719387755102038E-3</v>
      </c>
      <c r="P15" s="3">
        <f t="shared" si="11"/>
        <v>0.18847207729749405</v>
      </c>
    </row>
    <row r="16" spans="1:16" x14ac:dyDescent="0.2">
      <c r="A16" s="4">
        <v>300</v>
      </c>
      <c r="B16" s="4">
        <v>951</v>
      </c>
      <c r="C16" s="4">
        <v>344</v>
      </c>
      <c r="D16" s="4">
        <v>492</v>
      </c>
      <c r="E16" s="4">
        <f t="shared" si="0"/>
        <v>300</v>
      </c>
      <c r="F16" s="4">
        <f t="shared" si="1"/>
        <v>90000</v>
      </c>
      <c r="G16" s="4">
        <f t="shared" si="2"/>
        <v>2468.6456071487646</v>
      </c>
      <c r="H16" s="2">
        <f t="shared" si="3"/>
        <v>3.17</v>
      </c>
      <c r="I16" s="2">
        <f t="shared" si="4"/>
        <v>1.0566666666666667E-2</v>
      </c>
      <c r="J16" s="2">
        <f t="shared" si="5"/>
        <v>0.3852314796607787</v>
      </c>
      <c r="K16" s="1">
        <f t="shared" si="6"/>
        <v>1.1466666666666667</v>
      </c>
      <c r="L16" s="1">
        <f t="shared" si="7"/>
        <v>3.8222222222222221E-3</v>
      </c>
      <c r="M16" s="1">
        <f t="shared" si="8"/>
        <v>0.13934766456709555</v>
      </c>
      <c r="N16" s="3">
        <f t="shared" si="9"/>
        <v>1.64</v>
      </c>
      <c r="O16" s="3">
        <f t="shared" si="10"/>
        <v>5.4666666666666665E-3</v>
      </c>
      <c r="P16" s="3">
        <f t="shared" si="11"/>
        <v>0.19929956676456689</v>
      </c>
    </row>
    <row r="17" spans="1:16" x14ac:dyDescent="0.2">
      <c r="A17" s="4">
        <v>320</v>
      </c>
      <c r="B17" s="4">
        <v>1089</v>
      </c>
      <c r="C17" s="4">
        <v>384</v>
      </c>
      <c r="D17" s="4">
        <v>556</v>
      </c>
      <c r="E17" s="4">
        <f t="shared" si="0"/>
        <v>320</v>
      </c>
      <c r="F17" s="4">
        <f t="shared" si="1"/>
        <v>102400</v>
      </c>
      <c r="G17" s="4">
        <f t="shared" si="2"/>
        <v>2663.0169903639558</v>
      </c>
      <c r="H17" s="2">
        <f t="shared" si="3"/>
        <v>3.4031250000000002</v>
      </c>
      <c r="I17" s="2">
        <f t="shared" si="4"/>
        <v>1.0634765625000001E-2</v>
      </c>
      <c r="J17" s="2">
        <f t="shared" si="5"/>
        <v>0.40893467970370173</v>
      </c>
      <c r="K17" s="1">
        <f t="shared" si="6"/>
        <v>1.2</v>
      </c>
      <c r="L17" s="1">
        <f t="shared" si="7"/>
        <v>3.7499999999999999E-3</v>
      </c>
      <c r="M17" s="1">
        <f t="shared" si="8"/>
        <v>0.1441973526227929</v>
      </c>
      <c r="N17" s="3">
        <f t="shared" si="9"/>
        <v>1.7375</v>
      </c>
      <c r="O17" s="3">
        <f t="shared" si="10"/>
        <v>5.4296874999999996E-3</v>
      </c>
      <c r="P17" s="3">
        <f t="shared" si="11"/>
        <v>0.20878575015175221</v>
      </c>
    </row>
    <row r="18" spans="1:16" x14ac:dyDescent="0.2">
      <c r="A18" s="4">
        <v>340</v>
      </c>
      <c r="B18" s="4">
        <v>1210</v>
      </c>
      <c r="C18" s="4">
        <v>420</v>
      </c>
      <c r="D18" s="4">
        <v>628</v>
      </c>
      <c r="E18" s="4">
        <f t="shared" si="0"/>
        <v>340</v>
      </c>
      <c r="F18" s="4">
        <f t="shared" si="1"/>
        <v>115600</v>
      </c>
      <c r="G18" s="4">
        <f t="shared" si="2"/>
        <v>2859.1929182868189</v>
      </c>
      <c r="H18" s="2">
        <f t="shared" si="3"/>
        <v>3.5588235294117645</v>
      </c>
      <c r="I18" s="2">
        <f t="shared" si="4"/>
        <v>1.0467128027681662E-2</v>
      </c>
      <c r="J18" s="2">
        <f t="shared" si="5"/>
        <v>0.42319634756405733</v>
      </c>
      <c r="K18" s="1">
        <f t="shared" si="6"/>
        <v>1.2352941176470589</v>
      </c>
      <c r="L18" s="1">
        <f t="shared" si="7"/>
        <v>3.6332179930795849E-3</v>
      </c>
      <c r="M18" s="1">
        <f t="shared" si="8"/>
        <v>0.14689459998091248</v>
      </c>
      <c r="N18" s="3">
        <f t="shared" si="9"/>
        <v>1.8470588235294119</v>
      </c>
      <c r="O18" s="3">
        <f t="shared" si="10"/>
        <v>5.4325259515570932E-3</v>
      </c>
      <c r="P18" s="3">
        <f t="shared" si="11"/>
        <v>0.2196424018762215</v>
      </c>
    </row>
    <row r="19" spans="1:16" x14ac:dyDescent="0.2">
      <c r="A19" s="4">
        <v>360</v>
      </c>
      <c r="B19" s="4">
        <v>1383</v>
      </c>
      <c r="C19" s="4">
        <v>495</v>
      </c>
      <c r="D19" s="4">
        <v>684</v>
      </c>
      <c r="E19" s="4">
        <f t="shared" si="0"/>
        <v>360</v>
      </c>
      <c r="F19" s="4">
        <f t="shared" si="1"/>
        <v>129600</v>
      </c>
      <c r="G19" s="4">
        <f t="shared" si="2"/>
        <v>3057.0671146786831</v>
      </c>
      <c r="H19" s="2">
        <f t="shared" si="3"/>
        <v>3.8416666666666668</v>
      </c>
      <c r="I19" s="2">
        <f t="shared" si="4"/>
        <v>1.0671296296296297E-2</v>
      </c>
      <c r="J19" s="2">
        <f t="shared" si="5"/>
        <v>0.45239438589995168</v>
      </c>
      <c r="K19" s="1">
        <f t="shared" si="6"/>
        <v>1.375</v>
      </c>
      <c r="L19" s="1">
        <f t="shared" si="7"/>
        <v>3.8194444444444443E-3</v>
      </c>
      <c r="M19" s="1">
        <f t="shared" si="8"/>
        <v>0.16191989950865951</v>
      </c>
      <c r="N19" s="3">
        <f t="shared" si="9"/>
        <v>1.9</v>
      </c>
      <c r="O19" s="3">
        <f t="shared" si="10"/>
        <v>5.2777777777777779E-3</v>
      </c>
      <c r="P19" s="3">
        <f t="shared" si="11"/>
        <v>0.22374386113923858</v>
      </c>
    </row>
    <row r="20" spans="1:16" x14ac:dyDescent="0.2">
      <c r="A20" s="4">
        <v>380</v>
      </c>
      <c r="B20" s="4">
        <v>1460</v>
      </c>
      <c r="C20" s="4">
        <v>522</v>
      </c>
      <c r="D20" s="4">
        <v>737</v>
      </c>
      <c r="E20" s="4">
        <f t="shared" si="0"/>
        <v>380</v>
      </c>
      <c r="F20" s="4">
        <f t="shared" si="1"/>
        <v>144400</v>
      </c>
      <c r="G20" s="4">
        <f t="shared" si="2"/>
        <v>3256.5451311657607</v>
      </c>
      <c r="H20" s="2">
        <f t="shared" si="3"/>
        <v>3.8421052631578947</v>
      </c>
      <c r="I20" s="2">
        <f t="shared" si="4"/>
        <v>1.0110803324099723E-2</v>
      </c>
      <c r="J20" s="2">
        <f t="shared" si="5"/>
        <v>0.44832788774444438</v>
      </c>
      <c r="K20" s="1">
        <f t="shared" si="6"/>
        <v>1.3736842105263158</v>
      </c>
      <c r="L20" s="1">
        <f t="shared" si="7"/>
        <v>3.6149584487534625E-3</v>
      </c>
      <c r="M20" s="1">
        <f t="shared" si="8"/>
        <v>0.16029257356342463</v>
      </c>
      <c r="N20" s="3">
        <f t="shared" si="9"/>
        <v>1.9394736842105262</v>
      </c>
      <c r="O20" s="3">
        <f t="shared" si="10"/>
        <v>5.1038781163434905E-3</v>
      </c>
      <c r="P20" s="3">
        <f t="shared" si="11"/>
        <v>0.22631346114222978</v>
      </c>
    </row>
    <row r="21" spans="1:16" x14ac:dyDescent="0.2">
      <c r="A21" s="4">
        <v>400</v>
      </c>
      <c r="B21" s="4">
        <v>1607</v>
      </c>
      <c r="C21" s="4">
        <v>542</v>
      </c>
      <c r="D21" s="4">
        <v>814</v>
      </c>
      <c r="E21" s="4">
        <f t="shared" si="0"/>
        <v>400</v>
      </c>
      <c r="F21" s="4">
        <f t="shared" si="1"/>
        <v>160000</v>
      </c>
      <c r="G21" s="4">
        <f t="shared" si="2"/>
        <v>3457.5424759098901</v>
      </c>
      <c r="H21" s="2">
        <f t="shared" si="3"/>
        <v>4.0175000000000001</v>
      </c>
      <c r="I21" s="2">
        <f t="shared" si="4"/>
        <v>1.0043750000000001E-2</v>
      </c>
      <c r="J21" s="2">
        <f t="shared" si="5"/>
        <v>0.46478098568466619</v>
      </c>
      <c r="K21" s="1">
        <f t="shared" si="6"/>
        <v>1.355</v>
      </c>
      <c r="L21" s="1">
        <f t="shared" si="7"/>
        <v>3.3874999999999999E-3</v>
      </c>
      <c r="M21" s="1">
        <f t="shared" si="8"/>
        <v>0.15675873941573684</v>
      </c>
      <c r="N21" s="3">
        <f t="shared" si="9"/>
        <v>2.0350000000000001</v>
      </c>
      <c r="O21" s="3">
        <f t="shared" si="10"/>
        <v>5.0875E-3</v>
      </c>
      <c r="P21" s="3">
        <f t="shared" si="11"/>
        <v>0.23542733189005494</v>
      </c>
    </row>
    <row r="22" spans="1:16" x14ac:dyDescent="0.2">
      <c r="A22" s="4">
        <v>420</v>
      </c>
      <c r="B22" s="4">
        <v>1788</v>
      </c>
      <c r="C22" s="4">
        <v>656</v>
      </c>
      <c r="D22" s="4">
        <v>896</v>
      </c>
      <c r="E22" s="4">
        <f t="shared" si="0"/>
        <v>420</v>
      </c>
      <c r="F22" s="4">
        <f t="shared" si="1"/>
        <v>176400</v>
      </c>
      <c r="G22" s="4">
        <f t="shared" si="2"/>
        <v>3659.9831174197716</v>
      </c>
      <c r="H22" s="2">
        <f t="shared" si="3"/>
        <v>4.2571428571428571</v>
      </c>
      <c r="I22" s="2">
        <f t="shared" si="4"/>
        <v>1.0136054421768707E-2</v>
      </c>
      <c r="J22" s="2">
        <f t="shared" si="5"/>
        <v>0.48852684360481718</v>
      </c>
      <c r="K22" s="1">
        <f t="shared" si="6"/>
        <v>1.5619047619047619</v>
      </c>
      <c r="L22" s="1">
        <f t="shared" si="7"/>
        <v>3.7188208616780044E-3</v>
      </c>
      <c r="M22" s="1">
        <f t="shared" si="8"/>
        <v>0.17923579944337811</v>
      </c>
      <c r="N22" s="3">
        <f t="shared" si="9"/>
        <v>2.1333333333333333</v>
      </c>
      <c r="O22" s="3">
        <f t="shared" si="10"/>
        <v>5.0793650793650794E-3</v>
      </c>
      <c r="P22" s="3">
        <f t="shared" si="11"/>
        <v>0.24480987241046767</v>
      </c>
    </row>
    <row r="23" spans="1:16" x14ac:dyDescent="0.2">
      <c r="A23" s="4">
        <v>440</v>
      </c>
      <c r="B23" s="4">
        <v>1854</v>
      </c>
      <c r="C23" s="4">
        <v>645</v>
      </c>
      <c r="D23" s="4">
        <v>934</v>
      </c>
      <c r="E23" s="4">
        <f t="shared" si="0"/>
        <v>440</v>
      </c>
      <c r="F23" s="4">
        <f t="shared" si="1"/>
        <v>193600</v>
      </c>
      <c r="G23" s="4">
        <f t="shared" si="2"/>
        <v>3863.7982739508502</v>
      </c>
      <c r="H23" s="2">
        <f t="shared" si="3"/>
        <v>4.2136363636363638</v>
      </c>
      <c r="I23" s="2">
        <f t="shared" si="4"/>
        <v>9.5764462809917357E-3</v>
      </c>
      <c r="J23" s="2">
        <f t="shared" si="5"/>
        <v>0.47983871531269906</v>
      </c>
      <c r="K23" s="1">
        <f t="shared" si="6"/>
        <v>1.4659090909090908</v>
      </c>
      <c r="L23" s="1">
        <f t="shared" si="7"/>
        <v>3.3316115702479339E-3</v>
      </c>
      <c r="M23" s="1">
        <f t="shared" si="8"/>
        <v>0.16693418089357653</v>
      </c>
      <c r="N23" s="3">
        <f t="shared" si="9"/>
        <v>2.1227272727272726</v>
      </c>
      <c r="O23" s="3">
        <f t="shared" si="10"/>
        <v>4.8243801652892559E-3</v>
      </c>
      <c r="P23" s="3">
        <f t="shared" si="11"/>
        <v>0.24173104644124105</v>
      </c>
    </row>
    <row r="24" spans="1:16" x14ac:dyDescent="0.2">
      <c r="A24" s="4">
        <v>460</v>
      </c>
      <c r="B24" s="4">
        <v>2036</v>
      </c>
      <c r="C24" s="4">
        <v>703</v>
      </c>
      <c r="D24" s="4">
        <v>1019</v>
      </c>
      <c r="E24" s="4">
        <f t="shared" si="0"/>
        <v>460</v>
      </c>
      <c r="F24" s="4">
        <f t="shared" si="1"/>
        <v>211600</v>
      </c>
      <c r="G24" s="4">
        <f t="shared" si="2"/>
        <v>4068.925423434413</v>
      </c>
      <c r="H24" s="2">
        <f t="shared" si="3"/>
        <v>4.4260869565217389</v>
      </c>
      <c r="I24" s="2">
        <f t="shared" si="4"/>
        <v>9.6219281663516062E-3</v>
      </c>
      <c r="J24" s="2">
        <f t="shared" si="5"/>
        <v>0.50037781186008956</v>
      </c>
      <c r="K24" s="1">
        <f t="shared" si="6"/>
        <v>1.5282608695652173</v>
      </c>
      <c r="L24" s="1">
        <f t="shared" si="7"/>
        <v>3.3223062381852551E-3</v>
      </c>
      <c r="M24" s="1">
        <f t="shared" si="8"/>
        <v>0.1727728888691763</v>
      </c>
      <c r="N24" s="3">
        <f t="shared" si="9"/>
        <v>2.215217391304348</v>
      </c>
      <c r="O24" s="3">
        <f t="shared" si="10"/>
        <v>4.8156899810964087E-3</v>
      </c>
      <c r="P24" s="3">
        <f t="shared" si="11"/>
        <v>0.25043467106357137</v>
      </c>
    </row>
    <row r="25" spans="1:16" x14ac:dyDescent="0.2">
      <c r="A25" s="4">
        <v>480</v>
      </c>
      <c r="B25" s="4">
        <v>2183</v>
      </c>
      <c r="C25" s="4">
        <v>764</v>
      </c>
      <c r="D25" s="4">
        <v>1108</v>
      </c>
      <c r="E25" s="4">
        <f t="shared" si="0"/>
        <v>480</v>
      </c>
      <c r="F25" s="4">
        <f t="shared" si="1"/>
        <v>230400</v>
      </c>
      <c r="G25" s="4">
        <f t="shared" si="2"/>
        <v>4275.3074858920891</v>
      </c>
      <c r="H25" s="2">
        <f t="shared" si="3"/>
        <v>4.5479166666666666</v>
      </c>
      <c r="I25" s="2">
        <f t="shared" si="4"/>
        <v>9.4748263888888885E-3</v>
      </c>
      <c r="J25" s="2">
        <f t="shared" si="5"/>
        <v>0.51060654869938404</v>
      </c>
      <c r="K25" s="1">
        <f t="shared" si="6"/>
        <v>1.5916666666666666</v>
      </c>
      <c r="L25" s="1">
        <f t="shared" si="7"/>
        <v>3.3159722222222223E-3</v>
      </c>
      <c r="M25" s="1">
        <f t="shared" si="8"/>
        <v>0.17870059697953705</v>
      </c>
      <c r="N25" s="3">
        <f t="shared" si="9"/>
        <v>2.3083333333333331</v>
      </c>
      <c r="O25" s="3">
        <f t="shared" si="10"/>
        <v>4.8090277777777775E-3</v>
      </c>
      <c r="P25" s="3">
        <f t="shared" si="11"/>
        <v>0.25916264588131815</v>
      </c>
    </row>
    <row r="26" spans="1:16" x14ac:dyDescent="0.2">
      <c r="A26" s="4">
        <v>500</v>
      </c>
      <c r="B26" s="4">
        <v>2282</v>
      </c>
      <c r="C26" s="4">
        <v>806</v>
      </c>
      <c r="D26" s="4">
        <v>1145</v>
      </c>
      <c r="E26" s="4">
        <f t="shared" si="0"/>
        <v>500</v>
      </c>
      <c r="F26" s="4">
        <f t="shared" si="1"/>
        <v>250000</v>
      </c>
      <c r="G26" s="4">
        <f t="shared" si="2"/>
        <v>4482.8921423310439</v>
      </c>
      <c r="H26" s="2">
        <f t="shared" si="3"/>
        <v>4.5640000000000001</v>
      </c>
      <c r="I26" s="2">
        <f t="shared" si="4"/>
        <v>9.1280000000000007E-3</v>
      </c>
      <c r="J26" s="2">
        <f t="shared" si="5"/>
        <v>0.5090463762113604</v>
      </c>
      <c r="K26" s="1">
        <f t="shared" si="6"/>
        <v>1.6120000000000001</v>
      </c>
      <c r="L26" s="1">
        <f t="shared" si="7"/>
        <v>3.2239999999999999E-3</v>
      </c>
      <c r="M26" s="1">
        <f t="shared" si="8"/>
        <v>0.17979464470918338</v>
      </c>
      <c r="N26" s="3">
        <f t="shared" si="9"/>
        <v>2.29</v>
      </c>
      <c r="O26" s="3">
        <f t="shared" si="10"/>
        <v>4.5799999999999999E-3</v>
      </c>
      <c r="P26" s="3">
        <f t="shared" si="11"/>
        <v>0.25541546922086228</v>
      </c>
    </row>
    <row r="27" spans="1:16" x14ac:dyDescent="0.2">
      <c r="A27" s="4">
        <v>520</v>
      </c>
      <c r="B27" s="4">
        <v>2418</v>
      </c>
      <c r="C27" s="4">
        <v>854</v>
      </c>
      <c r="D27" s="4">
        <v>1234</v>
      </c>
      <c r="E27" s="4">
        <f t="shared" si="0"/>
        <v>520</v>
      </c>
      <c r="F27" s="4">
        <f t="shared" si="1"/>
        <v>270400</v>
      </c>
      <c r="G27" s="4">
        <f t="shared" si="2"/>
        <v>4691.6312627747966</v>
      </c>
      <c r="H27" s="2">
        <f t="shared" si="3"/>
        <v>4.6500000000000004</v>
      </c>
      <c r="I27" s="2">
        <f t="shared" si="4"/>
        <v>8.9423076923076921E-3</v>
      </c>
      <c r="J27" s="2">
        <f t="shared" si="5"/>
        <v>0.51538577193509216</v>
      </c>
      <c r="K27" s="1">
        <f t="shared" si="6"/>
        <v>1.6423076923076922</v>
      </c>
      <c r="L27" s="1">
        <f t="shared" si="7"/>
        <v>3.158284023668639E-3</v>
      </c>
      <c r="M27" s="1">
        <f t="shared" si="8"/>
        <v>0.18202624037740642</v>
      </c>
      <c r="N27" s="3">
        <f t="shared" si="9"/>
        <v>2.3730769230769231</v>
      </c>
      <c r="O27" s="3">
        <f t="shared" si="10"/>
        <v>4.5636094674556217E-3</v>
      </c>
      <c r="P27" s="3">
        <f t="shared" si="11"/>
        <v>0.26302152298093623</v>
      </c>
    </row>
    <row r="28" spans="1:16" x14ac:dyDescent="0.2">
      <c r="A28" s="4">
        <v>540</v>
      </c>
      <c r="B28" s="4">
        <v>2594</v>
      </c>
      <c r="C28" s="4">
        <v>900</v>
      </c>
      <c r="D28" s="4">
        <v>1269</v>
      </c>
      <c r="E28" s="4">
        <f t="shared" si="0"/>
        <v>540</v>
      </c>
      <c r="F28" s="4">
        <f t="shared" si="1"/>
        <v>291600</v>
      </c>
      <c r="G28" s="4">
        <f t="shared" si="2"/>
        <v>4901.4804224074487</v>
      </c>
      <c r="H28" s="2">
        <f t="shared" si="3"/>
        <v>4.8037037037037038</v>
      </c>
      <c r="I28" s="2">
        <f t="shared" si="4"/>
        <v>8.8957475994513036E-3</v>
      </c>
      <c r="J28" s="2">
        <f t="shared" si="5"/>
        <v>0.52922786106445596</v>
      </c>
      <c r="K28" s="1">
        <f t="shared" si="6"/>
        <v>1.6666666666666667</v>
      </c>
      <c r="L28" s="1">
        <f t="shared" si="7"/>
        <v>3.0864197530864196E-3</v>
      </c>
      <c r="M28" s="1">
        <f t="shared" si="8"/>
        <v>0.18361799343022758</v>
      </c>
      <c r="N28" s="3">
        <f t="shared" si="9"/>
        <v>2.35</v>
      </c>
      <c r="O28" s="3">
        <f t="shared" si="10"/>
        <v>4.3518518518518515E-3</v>
      </c>
      <c r="P28" s="3">
        <f t="shared" si="11"/>
        <v>0.25890137073662089</v>
      </c>
    </row>
    <row r="29" spans="1:16" x14ac:dyDescent="0.2">
      <c r="A29" s="4">
        <v>560</v>
      </c>
      <c r="B29" s="4">
        <v>2716</v>
      </c>
      <c r="C29" s="4">
        <v>928</v>
      </c>
      <c r="D29" s="4">
        <v>1364</v>
      </c>
      <c r="E29" s="4">
        <f t="shared" si="0"/>
        <v>560</v>
      </c>
      <c r="F29" s="4">
        <f t="shared" si="1"/>
        <v>313600</v>
      </c>
      <c r="G29" s="4">
        <f t="shared" si="2"/>
        <v>5112.3984894891819</v>
      </c>
      <c r="H29" s="2">
        <f t="shared" si="3"/>
        <v>4.8499999999999996</v>
      </c>
      <c r="I29" s="2">
        <f t="shared" si="4"/>
        <v>8.6607142857142855E-3</v>
      </c>
      <c r="J29" s="2">
        <f t="shared" si="5"/>
        <v>0.53125749207225359</v>
      </c>
      <c r="K29" s="1">
        <f t="shared" si="6"/>
        <v>1.6571428571428573</v>
      </c>
      <c r="L29" s="1">
        <f t="shared" si="7"/>
        <v>2.9591836734693877E-3</v>
      </c>
      <c r="M29" s="1">
        <f t="shared" si="8"/>
        <v>0.18151949655487898</v>
      </c>
      <c r="N29" s="3">
        <f t="shared" si="9"/>
        <v>2.4357142857142855</v>
      </c>
      <c r="O29" s="3">
        <f t="shared" si="10"/>
        <v>4.3494897959183675E-3</v>
      </c>
      <c r="P29" s="3">
        <f t="shared" si="11"/>
        <v>0.26680236347074882</v>
      </c>
    </row>
    <row r="30" spans="1:16" x14ac:dyDescent="0.2">
      <c r="A30" s="4">
        <v>580</v>
      </c>
      <c r="B30" s="4">
        <v>2877</v>
      </c>
      <c r="C30" s="4">
        <v>1004</v>
      </c>
      <c r="D30" s="4">
        <v>1396</v>
      </c>
      <c r="E30" s="4">
        <f t="shared" si="0"/>
        <v>580</v>
      </c>
      <c r="F30" s="4">
        <f t="shared" si="1"/>
        <v>336400</v>
      </c>
      <c r="G30" s="4">
        <f t="shared" si="2"/>
        <v>5324.3472722086617</v>
      </c>
      <c r="H30" s="2">
        <f t="shared" si="3"/>
        <v>4.9603448275862068</v>
      </c>
      <c r="I30" s="2">
        <f t="shared" si="4"/>
        <v>8.5523186682520801E-3</v>
      </c>
      <c r="J30" s="2">
        <f t="shared" si="5"/>
        <v>0.54034792490283123</v>
      </c>
      <c r="K30" s="1">
        <f t="shared" si="6"/>
        <v>1.7310344827586206</v>
      </c>
      <c r="L30" s="1">
        <f t="shared" si="7"/>
        <v>2.9845422116527944E-3</v>
      </c>
      <c r="M30" s="1">
        <f t="shared" si="8"/>
        <v>0.18856771519028243</v>
      </c>
      <c r="N30" s="3">
        <f t="shared" si="9"/>
        <v>2.4068965517241381</v>
      </c>
      <c r="O30" s="3">
        <f t="shared" si="10"/>
        <v>4.1498216409036857E-3</v>
      </c>
      <c r="P30" s="3">
        <f t="shared" si="11"/>
        <v>0.26219176335222533</v>
      </c>
    </row>
    <row r="31" spans="1:16" x14ac:dyDescent="0.2">
      <c r="A31" s="4">
        <v>600</v>
      </c>
      <c r="B31" s="4">
        <v>2998</v>
      </c>
      <c r="C31" s="4">
        <v>1067</v>
      </c>
      <c r="D31" s="4">
        <v>1493</v>
      </c>
      <c r="E31" s="4">
        <f t="shared" si="0"/>
        <v>600</v>
      </c>
      <c r="F31" s="4">
        <f t="shared" si="1"/>
        <v>360000</v>
      </c>
      <c r="G31" s="4">
        <f t="shared" si="2"/>
        <v>5537.2912142975292</v>
      </c>
      <c r="H31" s="2">
        <f t="shared" si="3"/>
        <v>4.996666666666667</v>
      </c>
      <c r="I31" s="2">
        <f t="shared" si="4"/>
        <v>8.3277777777777777E-3</v>
      </c>
      <c r="J31" s="2">
        <f t="shared" si="5"/>
        <v>0.54141996221167354</v>
      </c>
      <c r="K31" s="1">
        <f t="shared" si="6"/>
        <v>1.7783333333333333</v>
      </c>
      <c r="L31" s="1">
        <f t="shared" si="7"/>
        <v>2.9638888888888887E-3</v>
      </c>
      <c r="M31" s="1">
        <f t="shared" si="8"/>
        <v>0.19269349555698986</v>
      </c>
      <c r="N31" s="3">
        <f t="shared" si="9"/>
        <v>2.4883333333333333</v>
      </c>
      <c r="O31" s="3">
        <f t="shared" si="10"/>
        <v>4.1472222222222223E-3</v>
      </c>
      <c r="P31" s="3">
        <f t="shared" si="11"/>
        <v>0.2696264188065472</v>
      </c>
    </row>
    <row r="32" spans="1:16" x14ac:dyDescent="0.2">
      <c r="A32" s="4">
        <v>620</v>
      </c>
      <c r="B32" s="4">
        <v>3095</v>
      </c>
      <c r="C32" s="4">
        <v>1069</v>
      </c>
      <c r="D32" s="4">
        <v>1530</v>
      </c>
      <c r="E32" s="4">
        <f t="shared" si="0"/>
        <v>620</v>
      </c>
      <c r="F32" s="4">
        <f t="shared" si="1"/>
        <v>384400</v>
      </c>
      <c r="G32" s="4">
        <f t="shared" si="2"/>
        <v>5751.197131270028</v>
      </c>
      <c r="H32" s="2">
        <f t="shared" si="3"/>
        <v>4.991935483870968</v>
      </c>
      <c r="I32" s="2">
        <f t="shared" si="4"/>
        <v>8.051508844953174E-3</v>
      </c>
      <c r="J32" s="2">
        <f t="shared" si="5"/>
        <v>0.53814882873203407</v>
      </c>
      <c r="K32" s="1">
        <f t="shared" si="6"/>
        <v>1.7241935483870967</v>
      </c>
      <c r="L32" s="1">
        <f t="shared" si="7"/>
        <v>2.7809573361082208E-3</v>
      </c>
      <c r="M32" s="1">
        <f t="shared" si="8"/>
        <v>0.18587434504508704</v>
      </c>
      <c r="N32" s="3">
        <f t="shared" si="9"/>
        <v>2.467741935483871</v>
      </c>
      <c r="O32" s="3">
        <f t="shared" si="10"/>
        <v>3.9802289281997919E-3</v>
      </c>
      <c r="P32" s="3">
        <f t="shared" si="11"/>
        <v>0.26603156961551283</v>
      </c>
    </row>
    <row r="33" spans="1:16" x14ac:dyDescent="0.2">
      <c r="A33" s="4">
        <v>640</v>
      </c>
      <c r="B33" s="4">
        <v>3245</v>
      </c>
      <c r="C33" s="4">
        <v>1117</v>
      </c>
      <c r="D33" s="4">
        <v>1633</v>
      </c>
      <c r="E33" s="4">
        <f t="shared" si="0"/>
        <v>640</v>
      </c>
      <c r="F33" s="4">
        <f t="shared" si="1"/>
        <v>409600</v>
      </c>
      <c r="G33" s="4">
        <f t="shared" si="2"/>
        <v>5966.0339807279115</v>
      </c>
      <c r="H33" s="2">
        <f t="shared" si="3"/>
        <v>5.0703125</v>
      </c>
      <c r="I33" s="2">
        <f t="shared" si="4"/>
        <v>7.9223632812500007E-3</v>
      </c>
      <c r="J33" s="2">
        <f t="shared" si="5"/>
        <v>0.54391242330873879</v>
      </c>
      <c r="K33" s="1">
        <f t="shared" si="6"/>
        <v>1.7453125</v>
      </c>
      <c r="L33" s="1">
        <f t="shared" si="7"/>
        <v>2.72705078125E-3</v>
      </c>
      <c r="M33" s="1">
        <f t="shared" si="8"/>
        <v>0.18722655680612058</v>
      </c>
      <c r="N33" s="3">
        <f t="shared" si="9"/>
        <v>2.5515625000000002</v>
      </c>
      <c r="O33" s="3">
        <f t="shared" si="10"/>
        <v>3.9868164062499996E-3</v>
      </c>
      <c r="P33" s="3">
        <f t="shared" si="11"/>
        <v>0.27371617481145472</v>
      </c>
    </row>
    <row r="34" spans="1:16" x14ac:dyDescent="0.2">
      <c r="A34" s="4">
        <v>660</v>
      </c>
      <c r="B34" s="4">
        <v>3334</v>
      </c>
      <c r="C34" s="4">
        <v>1187</v>
      </c>
      <c r="D34" s="4">
        <v>1659</v>
      </c>
      <c r="E34" s="4">
        <f t="shared" si="0"/>
        <v>660</v>
      </c>
      <c r="F34" s="4">
        <f t="shared" si="1"/>
        <v>435600</v>
      </c>
      <c r="G34" s="4">
        <f t="shared" si="2"/>
        <v>6181.7726614022386</v>
      </c>
      <c r="H34" s="2">
        <f t="shared" si="3"/>
        <v>5.0515151515151517</v>
      </c>
      <c r="I34" s="2">
        <f t="shared" si="4"/>
        <v>7.6538108356290178E-3</v>
      </c>
      <c r="J34" s="2">
        <f t="shared" si="5"/>
        <v>0.53932750080196801</v>
      </c>
      <c r="K34" s="1">
        <f t="shared" si="6"/>
        <v>1.7984848484848486</v>
      </c>
      <c r="L34" s="1">
        <f t="shared" si="7"/>
        <v>2.7249770431588614E-3</v>
      </c>
      <c r="M34" s="1">
        <f t="shared" si="8"/>
        <v>0.19201611981161851</v>
      </c>
      <c r="N34" s="3">
        <f t="shared" si="9"/>
        <v>2.5136363636363637</v>
      </c>
      <c r="O34" s="3">
        <f t="shared" si="10"/>
        <v>3.8085399449035813E-3</v>
      </c>
      <c r="P34" s="3">
        <f t="shared" si="11"/>
        <v>0.26836962322449459</v>
      </c>
    </row>
    <row r="35" spans="1:16" x14ac:dyDescent="0.2">
      <c r="A35" s="4">
        <v>680</v>
      </c>
      <c r="B35" s="4">
        <v>3507</v>
      </c>
      <c r="C35" s="4">
        <v>1159</v>
      </c>
      <c r="D35" s="4">
        <v>1692</v>
      </c>
      <c r="E35" s="4">
        <f t="shared" si="0"/>
        <v>680</v>
      </c>
      <c r="F35" s="4">
        <f t="shared" si="1"/>
        <v>462400</v>
      </c>
      <c r="G35" s="4">
        <f t="shared" si="2"/>
        <v>6398.3858365736369</v>
      </c>
      <c r="H35" s="2">
        <f t="shared" si="3"/>
        <v>5.1573529411764705</v>
      </c>
      <c r="I35" s="2">
        <f t="shared" si="4"/>
        <v>7.584342560553633E-3</v>
      </c>
      <c r="J35" s="2">
        <f t="shared" si="5"/>
        <v>0.54810698972758631</v>
      </c>
      <c r="K35" s="1">
        <f t="shared" si="6"/>
        <v>1.7044117647058823</v>
      </c>
      <c r="L35" s="1">
        <f t="shared" si="7"/>
        <v>2.5064878892733563E-3</v>
      </c>
      <c r="M35" s="1">
        <f t="shared" si="8"/>
        <v>0.18113943572690974</v>
      </c>
      <c r="N35" s="3">
        <f t="shared" si="9"/>
        <v>2.4882352941176471</v>
      </c>
      <c r="O35" s="3">
        <f t="shared" si="10"/>
        <v>3.6591695501730103E-3</v>
      </c>
      <c r="P35" s="3">
        <f t="shared" si="11"/>
        <v>0.26444169564273623</v>
      </c>
    </row>
    <row r="36" spans="1:16" x14ac:dyDescent="0.2">
      <c r="A36" s="4">
        <v>700</v>
      </c>
      <c r="B36" s="4">
        <v>3648</v>
      </c>
      <c r="C36" s="4">
        <v>1282</v>
      </c>
      <c r="D36" s="4">
        <v>1791</v>
      </c>
      <c r="E36" s="4">
        <f t="shared" si="0"/>
        <v>700</v>
      </c>
      <c r="F36" s="4">
        <f t="shared" si="1"/>
        <v>490000</v>
      </c>
      <c r="G36" s="4">
        <f t="shared" si="2"/>
        <v>6615.8477782826303</v>
      </c>
      <c r="H36" s="2">
        <f t="shared" si="3"/>
        <v>5.2114285714285717</v>
      </c>
      <c r="I36" s="2">
        <f t="shared" si="4"/>
        <v>7.4448979591836733E-3</v>
      </c>
      <c r="J36" s="2">
        <f t="shared" si="5"/>
        <v>0.55140325507110799</v>
      </c>
      <c r="K36" s="1">
        <f t="shared" si="6"/>
        <v>1.8314285714285714</v>
      </c>
      <c r="L36" s="1">
        <f t="shared" si="7"/>
        <v>2.6163265306122451E-3</v>
      </c>
      <c r="M36" s="1">
        <f t="shared" si="8"/>
        <v>0.19377713075689704</v>
      </c>
      <c r="N36" s="3">
        <f t="shared" si="9"/>
        <v>2.5585714285714287</v>
      </c>
      <c r="O36" s="3">
        <f t="shared" si="10"/>
        <v>3.6551020408163264E-3</v>
      </c>
      <c r="P36" s="3">
        <f t="shared" si="11"/>
        <v>0.27071360466895678</v>
      </c>
    </row>
    <row r="37" spans="1:16" x14ac:dyDescent="0.2">
      <c r="A37" s="4">
        <v>720</v>
      </c>
      <c r="B37" s="4">
        <v>3730</v>
      </c>
      <c r="C37" s="4">
        <v>1315</v>
      </c>
      <c r="D37" s="4">
        <v>1819</v>
      </c>
      <c r="E37" s="4">
        <f t="shared" si="0"/>
        <v>720</v>
      </c>
      <c r="F37" s="4">
        <f t="shared" si="1"/>
        <v>518400</v>
      </c>
      <c r="G37" s="4">
        <f t="shared" si="2"/>
        <v>6834.1342293573662</v>
      </c>
      <c r="H37" s="2">
        <f t="shared" si="3"/>
        <v>5.1805555555555554</v>
      </c>
      <c r="I37" s="2">
        <f t="shared" si="4"/>
        <v>7.1952160493827157E-3</v>
      </c>
      <c r="J37" s="2">
        <f t="shared" si="5"/>
        <v>0.54578968964013796</v>
      </c>
      <c r="K37" s="1">
        <f t="shared" si="6"/>
        <v>1.8263888888888888</v>
      </c>
      <c r="L37" s="1">
        <f t="shared" si="7"/>
        <v>2.5366512345679011E-3</v>
      </c>
      <c r="M37" s="1">
        <f t="shared" si="8"/>
        <v>0.1924164723530245</v>
      </c>
      <c r="N37" s="3">
        <f t="shared" si="9"/>
        <v>2.526388888888889</v>
      </c>
      <c r="O37" s="3">
        <f t="shared" si="10"/>
        <v>3.5088734567901235E-3</v>
      </c>
      <c r="P37" s="3">
        <f t="shared" si="11"/>
        <v>0.26616392639555253</v>
      </c>
    </row>
    <row r="38" spans="1:16" x14ac:dyDescent="0.2">
      <c r="A38" s="4">
        <v>740</v>
      </c>
      <c r="B38" s="4">
        <v>3870</v>
      </c>
      <c r="C38" s="4">
        <v>1311</v>
      </c>
      <c r="D38" s="4">
        <v>1852</v>
      </c>
      <c r="E38" s="4">
        <f t="shared" si="0"/>
        <v>740</v>
      </c>
      <c r="F38" s="4">
        <f t="shared" si="1"/>
        <v>547600</v>
      </c>
      <c r="G38" s="4">
        <f t="shared" si="2"/>
        <v>7053.2222807820717</v>
      </c>
      <c r="H38" s="2">
        <f t="shared" si="3"/>
        <v>5.2297297297297298</v>
      </c>
      <c r="I38" s="2">
        <f t="shared" si="4"/>
        <v>7.0672023374726079E-3</v>
      </c>
      <c r="J38" s="2">
        <f t="shared" si="5"/>
        <v>0.54868538746391082</v>
      </c>
      <c r="K38" s="1">
        <f t="shared" si="6"/>
        <v>1.7716216216216216</v>
      </c>
      <c r="L38" s="1">
        <f t="shared" si="7"/>
        <v>2.3940832724616509E-3</v>
      </c>
      <c r="M38" s="1">
        <f t="shared" si="8"/>
        <v>0.18587249172227058</v>
      </c>
      <c r="N38" s="3">
        <f t="shared" si="9"/>
        <v>2.5027027027027029</v>
      </c>
      <c r="O38" s="3">
        <f t="shared" si="10"/>
        <v>3.3820306793279765E-3</v>
      </c>
      <c r="P38" s="3">
        <f t="shared" si="11"/>
        <v>0.26257502263130822</v>
      </c>
    </row>
    <row r="39" spans="1:16" x14ac:dyDescent="0.2">
      <c r="A39" s="4">
        <v>760</v>
      </c>
      <c r="B39" s="4">
        <v>3898</v>
      </c>
      <c r="C39" s="4">
        <v>1293</v>
      </c>
      <c r="D39" s="4">
        <v>1954</v>
      </c>
      <c r="E39" s="4">
        <f t="shared" si="0"/>
        <v>760</v>
      </c>
      <c r="F39" s="4">
        <f t="shared" si="1"/>
        <v>577600</v>
      </c>
      <c r="G39" s="4">
        <f t="shared" si="2"/>
        <v>7273.0902623315214</v>
      </c>
      <c r="H39" s="2">
        <f t="shared" si="3"/>
        <v>5.1289473684210529</v>
      </c>
      <c r="I39" s="2">
        <f t="shared" si="4"/>
        <v>6.7486149584487535E-3</v>
      </c>
      <c r="J39" s="2">
        <f t="shared" si="5"/>
        <v>0.53594825024905235</v>
      </c>
      <c r="K39" s="1">
        <f t="shared" si="6"/>
        <v>1.7013157894736841</v>
      </c>
      <c r="L39" s="1">
        <f t="shared" si="7"/>
        <v>2.2385734072022162E-3</v>
      </c>
      <c r="M39" s="1">
        <f t="shared" si="8"/>
        <v>0.17777862687840551</v>
      </c>
      <c r="N39" s="3">
        <f t="shared" si="9"/>
        <v>2.5710526315789473</v>
      </c>
      <c r="O39" s="3">
        <f t="shared" si="10"/>
        <v>3.3829639889196676E-3</v>
      </c>
      <c r="P39" s="3">
        <f t="shared" si="11"/>
        <v>0.26866159081237773</v>
      </c>
    </row>
    <row r="40" spans="1:16" x14ac:dyDescent="0.2">
      <c r="A40" s="4">
        <v>780</v>
      </c>
      <c r="B40" s="4">
        <v>3996</v>
      </c>
      <c r="C40" s="4">
        <v>1348</v>
      </c>
      <c r="D40" s="4">
        <v>1984</v>
      </c>
      <c r="E40" s="4">
        <f t="shared" si="0"/>
        <v>780</v>
      </c>
      <c r="F40" s="4">
        <f t="shared" si="1"/>
        <v>608400</v>
      </c>
      <c r="G40" s="4">
        <f t="shared" si="2"/>
        <v>7493.7176447246966</v>
      </c>
      <c r="H40" s="2">
        <f t="shared" si="3"/>
        <v>5.1230769230769226</v>
      </c>
      <c r="I40" s="2">
        <f t="shared" si="4"/>
        <v>6.5680473372781061E-3</v>
      </c>
      <c r="J40" s="2">
        <f t="shared" si="5"/>
        <v>0.53324667267294734</v>
      </c>
      <c r="K40" s="1">
        <f t="shared" si="6"/>
        <v>1.7282051282051283</v>
      </c>
      <c r="L40" s="1">
        <f t="shared" si="7"/>
        <v>2.215647600262985E-3</v>
      </c>
      <c r="M40" s="1">
        <f t="shared" si="8"/>
        <v>0.17988401270348672</v>
      </c>
      <c r="N40" s="3">
        <f t="shared" si="9"/>
        <v>2.5435897435897434</v>
      </c>
      <c r="O40" s="3">
        <f t="shared" si="10"/>
        <v>3.2610124917817227E-3</v>
      </c>
      <c r="P40" s="3">
        <f t="shared" si="11"/>
        <v>0.26475510475053238</v>
      </c>
    </row>
    <row r="41" spans="1:16" x14ac:dyDescent="0.2">
      <c r="A41" s="4">
        <v>800</v>
      </c>
      <c r="B41" s="4">
        <v>4235</v>
      </c>
      <c r="C41" s="4">
        <v>1418</v>
      </c>
      <c r="D41" s="4">
        <v>2017</v>
      </c>
      <c r="E41" s="4">
        <f t="shared" si="0"/>
        <v>800</v>
      </c>
      <c r="F41" s="4">
        <f t="shared" si="1"/>
        <v>640000</v>
      </c>
      <c r="G41" s="4">
        <f t="shared" si="2"/>
        <v>7715.0849518197801</v>
      </c>
      <c r="H41" s="2">
        <f t="shared" si="3"/>
        <v>5.2937500000000002</v>
      </c>
      <c r="I41" s="2">
        <f t="shared" si="4"/>
        <v>6.6171874999999998E-3</v>
      </c>
      <c r="J41" s="2">
        <f t="shared" si="5"/>
        <v>0.54892461022105499</v>
      </c>
      <c r="K41" s="1">
        <f t="shared" si="6"/>
        <v>1.7725</v>
      </c>
      <c r="L41" s="1">
        <f t="shared" si="7"/>
        <v>2.2156250000000001E-3</v>
      </c>
      <c r="M41" s="1">
        <f t="shared" si="8"/>
        <v>0.18379577267850203</v>
      </c>
      <c r="N41" s="3">
        <f t="shared" si="9"/>
        <v>2.5212500000000002</v>
      </c>
      <c r="O41" s="3">
        <f t="shared" si="10"/>
        <v>3.1515624999999999E-3</v>
      </c>
      <c r="P41" s="3">
        <f t="shared" si="11"/>
        <v>0.26143587693408926</v>
      </c>
    </row>
    <row r="42" spans="1:16" x14ac:dyDescent="0.2">
      <c r="A42" s="4">
        <v>820</v>
      </c>
      <c r="B42" s="4">
        <v>4290</v>
      </c>
      <c r="C42" s="4">
        <v>1431</v>
      </c>
      <c r="D42" s="4">
        <v>2067</v>
      </c>
      <c r="E42" s="4">
        <f t="shared" si="0"/>
        <v>820</v>
      </c>
      <c r="F42" s="4">
        <f t="shared" si="1"/>
        <v>672400</v>
      </c>
      <c r="G42" s="4">
        <f t="shared" si="2"/>
        <v>7937.1736815944651</v>
      </c>
      <c r="H42" s="2">
        <f t="shared" si="3"/>
        <v>5.2317073170731705</v>
      </c>
      <c r="I42" s="2">
        <f t="shared" si="4"/>
        <v>6.3801308744794762E-3</v>
      </c>
      <c r="J42" s="2">
        <f t="shared" si="5"/>
        <v>0.5404946612102105</v>
      </c>
      <c r="K42" s="1">
        <f t="shared" si="6"/>
        <v>1.7451219512195122</v>
      </c>
      <c r="L42" s="1">
        <f t="shared" si="7"/>
        <v>2.1281975014872099E-3</v>
      </c>
      <c r="M42" s="1">
        <f t="shared" si="8"/>
        <v>0.1802908765015877</v>
      </c>
      <c r="N42" s="3">
        <f t="shared" si="9"/>
        <v>2.520731707317073</v>
      </c>
      <c r="O42" s="3">
        <f t="shared" si="10"/>
        <v>3.0740630577037477E-3</v>
      </c>
      <c r="P42" s="3">
        <f t="shared" si="11"/>
        <v>0.26042015494673781</v>
      </c>
    </row>
    <row r="43" spans="1:16" x14ac:dyDescent="0.2">
      <c r="A43" s="4">
        <v>840</v>
      </c>
      <c r="B43" s="4">
        <v>4356</v>
      </c>
      <c r="C43" s="4">
        <v>1471</v>
      </c>
      <c r="D43" s="4">
        <v>2149</v>
      </c>
      <c r="E43" s="4">
        <f t="shared" si="0"/>
        <v>840</v>
      </c>
      <c r="F43" s="4">
        <f t="shared" si="1"/>
        <v>705600</v>
      </c>
      <c r="G43" s="4">
        <f t="shared" si="2"/>
        <v>8159.9662348395432</v>
      </c>
      <c r="H43" s="2">
        <f t="shared" si="3"/>
        <v>5.1857142857142859</v>
      </c>
      <c r="I43" s="2">
        <f t="shared" si="4"/>
        <v>6.1734693877551023E-3</v>
      </c>
      <c r="J43" s="2">
        <f t="shared" si="5"/>
        <v>0.53382573832251357</v>
      </c>
      <c r="K43" s="1">
        <f t="shared" si="6"/>
        <v>1.7511904761904762</v>
      </c>
      <c r="L43" s="1">
        <f t="shared" si="7"/>
        <v>2.0847505668934239E-3</v>
      </c>
      <c r="M43" s="1">
        <f t="shared" si="8"/>
        <v>0.18027035378154668</v>
      </c>
      <c r="N43" s="3">
        <f t="shared" si="9"/>
        <v>2.5583333333333331</v>
      </c>
      <c r="O43" s="3">
        <f t="shared" si="10"/>
        <v>3.0456349206349205E-3</v>
      </c>
      <c r="P43" s="3">
        <f t="shared" si="11"/>
        <v>0.26335893288684148</v>
      </c>
    </row>
    <row r="44" spans="1:16" x14ac:dyDescent="0.2">
      <c r="A44" s="4">
        <v>860</v>
      </c>
      <c r="B44" s="4">
        <v>4456</v>
      </c>
      <c r="C44" s="4">
        <v>1550</v>
      </c>
      <c r="D44" s="4">
        <v>2186</v>
      </c>
      <c r="E44" s="4">
        <f t="shared" si="0"/>
        <v>860</v>
      </c>
      <c r="F44" s="4">
        <f t="shared" si="1"/>
        <v>739600</v>
      </c>
      <c r="G44" s="4">
        <f t="shared" si="2"/>
        <v>8383.4458506469346</v>
      </c>
      <c r="H44" s="2">
        <f t="shared" si="3"/>
        <v>5.1813953488372091</v>
      </c>
      <c r="I44" s="2">
        <f t="shared" si="4"/>
        <v>6.0248783126014066E-3</v>
      </c>
      <c r="J44" s="2">
        <f t="shared" si="5"/>
        <v>0.5315236812385612</v>
      </c>
      <c r="K44" s="1">
        <f t="shared" si="6"/>
        <v>1.8023255813953489</v>
      </c>
      <c r="L44" s="1">
        <f t="shared" si="7"/>
        <v>2.0957274202271499E-3</v>
      </c>
      <c r="M44" s="1">
        <f t="shared" si="8"/>
        <v>0.18488817457804532</v>
      </c>
      <c r="N44" s="3">
        <f t="shared" si="9"/>
        <v>2.5418604651162791</v>
      </c>
      <c r="O44" s="3">
        <f t="shared" si="10"/>
        <v>2.9556517036235805E-3</v>
      </c>
      <c r="P44" s="3">
        <f t="shared" si="11"/>
        <v>0.26075196750168195</v>
      </c>
    </row>
    <row r="45" spans="1:16" x14ac:dyDescent="0.2">
      <c r="A45" s="4">
        <v>880</v>
      </c>
      <c r="B45" s="4">
        <v>4574</v>
      </c>
      <c r="C45" s="4">
        <v>1540</v>
      </c>
      <c r="D45" s="4">
        <v>2215</v>
      </c>
      <c r="E45" s="4">
        <f t="shared" si="0"/>
        <v>880</v>
      </c>
      <c r="F45" s="4">
        <f t="shared" si="1"/>
        <v>774400</v>
      </c>
      <c r="G45" s="4">
        <f t="shared" si="2"/>
        <v>8607.5965479017013</v>
      </c>
      <c r="H45" s="2">
        <f t="shared" si="3"/>
        <v>5.1977272727272723</v>
      </c>
      <c r="I45" s="2">
        <f t="shared" si="4"/>
        <v>5.9065082644628097E-3</v>
      </c>
      <c r="J45" s="2">
        <f t="shared" si="5"/>
        <v>0.53139107700337296</v>
      </c>
      <c r="K45" s="1">
        <f t="shared" si="6"/>
        <v>1.75</v>
      </c>
      <c r="L45" s="1">
        <f t="shared" si="7"/>
        <v>1.9886363636363634E-3</v>
      </c>
      <c r="M45" s="1">
        <f t="shared" si="8"/>
        <v>0.17891173121670187</v>
      </c>
      <c r="N45" s="3">
        <f t="shared" si="9"/>
        <v>2.5170454545454546</v>
      </c>
      <c r="O45" s="3">
        <f t="shared" si="10"/>
        <v>2.8602789256198346E-3</v>
      </c>
      <c r="P45" s="3">
        <f t="shared" si="11"/>
        <v>0.25733083418506142</v>
      </c>
    </row>
    <row r="46" spans="1:16" x14ac:dyDescent="0.2">
      <c r="A46" s="4">
        <v>900</v>
      </c>
      <c r="B46" s="4">
        <v>4690</v>
      </c>
      <c r="C46" s="4">
        <v>1523</v>
      </c>
      <c r="D46" s="4">
        <v>2251</v>
      </c>
      <c r="E46" s="4">
        <f t="shared" si="0"/>
        <v>900</v>
      </c>
      <c r="F46" s="4">
        <f t="shared" si="1"/>
        <v>810000</v>
      </c>
      <c r="G46" s="4">
        <f t="shared" si="2"/>
        <v>8832.4030720953342</v>
      </c>
      <c r="H46" s="2">
        <f t="shared" si="3"/>
        <v>5.2111111111111112</v>
      </c>
      <c r="I46" s="2">
        <f t="shared" si="4"/>
        <v>5.7901234567901234E-3</v>
      </c>
      <c r="J46" s="2">
        <f t="shared" si="5"/>
        <v>0.53099931714137438</v>
      </c>
      <c r="K46" s="1">
        <f t="shared" si="6"/>
        <v>1.6922222222222223</v>
      </c>
      <c r="L46" s="1">
        <f t="shared" si="7"/>
        <v>1.880246913580247E-3</v>
      </c>
      <c r="M46" s="1">
        <f t="shared" si="8"/>
        <v>0.17243325373268939</v>
      </c>
      <c r="N46" s="3">
        <f t="shared" si="9"/>
        <v>2.5011111111111113</v>
      </c>
      <c r="O46" s="3">
        <f t="shared" si="10"/>
        <v>2.7790123456790123E-3</v>
      </c>
      <c r="P46" s="3">
        <f t="shared" si="11"/>
        <v>0.25485702833373852</v>
      </c>
    </row>
    <row r="47" spans="1:16" x14ac:dyDescent="0.2">
      <c r="A47" s="4">
        <v>920</v>
      </c>
      <c r="B47" s="4">
        <v>4798</v>
      </c>
      <c r="C47" s="4">
        <v>1614</v>
      </c>
      <c r="D47" s="4">
        <v>2283</v>
      </c>
      <c r="E47" s="4">
        <f t="shared" si="0"/>
        <v>920</v>
      </c>
      <c r="F47" s="4">
        <f t="shared" si="1"/>
        <v>846400</v>
      </c>
      <c r="G47" s="4">
        <f t="shared" si="2"/>
        <v>9057.8508468688251</v>
      </c>
      <c r="H47" s="2">
        <f t="shared" si="3"/>
        <v>5.215217391304348</v>
      </c>
      <c r="I47" s="2">
        <f t="shared" si="4"/>
        <v>5.668714555765595E-3</v>
      </c>
      <c r="J47" s="2">
        <f t="shared" si="5"/>
        <v>0.52970622735067474</v>
      </c>
      <c r="K47" s="1">
        <f t="shared" si="6"/>
        <v>1.7543478260869565</v>
      </c>
      <c r="L47" s="1">
        <f t="shared" si="7"/>
        <v>1.9068998109640831E-3</v>
      </c>
      <c r="M47" s="1">
        <f t="shared" si="8"/>
        <v>0.17818796393163591</v>
      </c>
      <c r="N47" s="3">
        <f t="shared" si="9"/>
        <v>2.4815217391304349</v>
      </c>
      <c r="O47" s="3">
        <f t="shared" si="10"/>
        <v>2.6973062381852554E-3</v>
      </c>
      <c r="P47" s="3">
        <f t="shared" si="11"/>
        <v>0.25204654377690505</v>
      </c>
    </row>
    <row r="48" spans="1:16" x14ac:dyDescent="0.2">
      <c r="A48" s="4">
        <v>940</v>
      </c>
      <c r="B48" s="4">
        <v>4798</v>
      </c>
      <c r="C48" s="4">
        <v>1622</v>
      </c>
      <c r="D48" s="4">
        <v>2367</v>
      </c>
      <c r="E48" s="4">
        <f t="shared" si="0"/>
        <v>940</v>
      </c>
      <c r="F48" s="4">
        <f t="shared" si="1"/>
        <v>883600</v>
      </c>
      <c r="G48" s="4">
        <f t="shared" si="2"/>
        <v>9283.9259297711014</v>
      </c>
      <c r="H48" s="2">
        <f t="shared" si="3"/>
        <v>5.1042553191489359</v>
      </c>
      <c r="I48" s="2">
        <f t="shared" si="4"/>
        <v>5.4300588501584425E-3</v>
      </c>
      <c r="J48" s="2">
        <f t="shared" si="5"/>
        <v>0.5168072253370829</v>
      </c>
      <c r="K48" s="1">
        <f t="shared" si="6"/>
        <v>1.725531914893617</v>
      </c>
      <c r="L48" s="1">
        <f t="shared" si="7"/>
        <v>1.8356722498868267E-3</v>
      </c>
      <c r="M48" s="1">
        <f t="shared" si="8"/>
        <v>0.17471057096639192</v>
      </c>
      <c r="N48" s="3">
        <f t="shared" si="9"/>
        <v>2.5180851063829786</v>
      </c>
      <c r="O48" s="3">
        <f t="shared" si="10"/>
        <v>2.6788139429606158E-3</v>
      </c>
      <c r="P48" s="3">
        <f t="shared" si="11"/>
        <v>0.25495679499226243</v>
      </c>
    </row>
    <row r="49" spans="1:16" x14ac:dyDescent="0.2">
      <c r="A49" s="4">
        <v>960</v>
      </c>
      <c r="B49" s="4">
        <v>4951</v>
      </c>
      <c r="C49" s="4">
        <v>1689</v>
      </c>
      <c r="D49" s="4">
        <v>2412</v>
      </c>
      <c r="E49" s="4">
        <f t="shared" si="0"/>
        <v>960</v>
      </c>
      <c r="F49" s="4">
        <f t="shared" si="1"/>
        <v>921600</v>
      </c>
      <c r="G49" s="4">
        <f t="shared" si="2"/>
        <v>9510.6149717841781</v>
      </c>
      <c r="H49" s="2">
        <f t="shared" si="3"/>
        <v>5.1572916666666666</v>
      </c>
      <c r="I49" s="2">
        <f t="shared" si="4"/>
        <v>5.3721788194444446E-3</v>
      </c>
      <c r="J49" s="2">
        <f t="shared" si="5"/>
        <v>0.52057622085306643</v>
      </c>
      <c r="K49" s="1">
        <f t="shared" si="6"/>
        <v>1.7593749999999999</v>
      </c>
      <c r="L49" s="1">
        <f t="shared" si="7"/>
        <v>1.8326822916666667E-3</v>
      </c>
      <c r="M49" s="1">
        <f t="shared" si="8"/>
        <v>0.17759103959216907</v>
      </c>
      <c r="N49" s="3">
        <f t="shared" si="9"/>
        <v>2.5125000000000002</v>
      </c>
      <c r="O49" s="3">
        <f t="shared" si="10"/>
        <v>2.6171875000000002E-3</v>
      </c>
      <c r="P49" s="3">
        <f t="shared" si="11"/>
        <v>0.25361136027016684</v>
      </c>
    </row>
    <row r="50" spans="1:16" x14ac:dyDescent="0.2">
      <c r="A50" s="4">
        <v>980</v>
      </c>
      <c r="B50" s="4">
        <v>5028</v>
      </c>
      <c r="C50" s="4">
        <v>1703</v>
      </c>
      <c r="D50" s="4">
        <v>2446</v>
      </c>
      <c r="E50" s="4">
        <f t="shared" si="0"/>
        <v>980</v>
      </c>
      <c r="F50" s="4">
        <f t="shared" si="1"/>
        <v>960400</v>
      </c>
      <c r="G50" s="4">
        <f t="shared" si="2"/>
        <v>9737.9051802225204</v>
      </c>
      <c r="H50" s="2">
        <f t="shared" si="3"/>
        <v>5.130612244897959</v>
      </c>
      <c r="I50" s="2">
        <f t="shared" si="4"/>
        <v>5.2353186172428151E-3</v>
      </c>
      <c r="J50" s="2">
        <f t="shared" si="5"/>
        <v>0.51633281562566058</v>
      </c>
      <c r="K50" s="1">
        <f t="shared" si="6"/>
        <v>1.7377551020408164</v>
      </c>
      <c r="L50" s="1">
        <f t="shared" si="7"/>
        <v>1.7732194918783841E-3</v>
      </c>
      <c r="M50" s="1">
        <f t="shared" si="8"/>
        <v>0.17488360879286</v>
      </c>
      <c r="N50" s="3">
        <f t="shared" si="9"/>
        <v>2.4959183673469387</v>
      </c>
      <c r="O50" s="3">
        <f t="shared" si="10"/>
        <v>2.5468554768846314E-3</v>
      </c>
      <c r="P50" s="3">
        <f t="shared" si="11"/>
        <v>0.25118338644000915</v>
      </c>
    </row>
    <row r="51" spans="1:16" x14ac:dyDescent="0.2">
      <c r="A51" s="4">
        <v>1000</v>
      </c>
      <c r="B51" s="4">
        <v>5208</v>
      </c>
      <c r="C51" s="4">
        <v>1748</v>
      </c>
      <c r="D51" s="4">
        <v>2485</v>
      </c>
      <c r="E51" s="4">
        <f t="shared" si="0"/>
        <v>1000</v>
      </c>
      <c r="F51" s="4">
        <f t="shared" si="1"/>
        <v>1000000</v>
      </c>
      <c r="G51" s="4">
        <f t="shared" si="2"/>
        <v>9965.7842846620879</v>
      </c>
      <c r="H51" s="2">
        <f t="shared" si="3"/>
        <v>5.2080000000000002</v>
      </c>
      <c r="I51" s="2">
        <f t="shared" si="4"/>
        <v>5.208E-3</v>
      </c>
      <c r="J51" s="2">
        <f t="shared" si="5"/>
        <v>0.52258807247267136</v>
      </c>
      <c r="K51" s="1">
        <f t="shared" si="6"/>
        <v>1.748</v>
      </c>
      <c r="L51" s="1">
        <f t="shared" si="7"/>
        <v>1.748E-3</v>
      </c>
      <c r="M51" s="1">
        <f t="shared" si="8"/>
        <v>0.17540014414021302</v>
      </c>
      <c r="N51" s="3">
        <f t="shared" si="9"/>
        <v>2.4849999999999999</v>
      </c>
      <c r="O51" s="3">
        <f t="shared" si="10"/>
        <v>2.4849999999999998E-3</v>
      </c>
      <c r="P51" s="3">
        <f t="shared" si="11"/>
        <v>0.2493531797416644</v>
      </c>
    </row>
    <row r="52" spans="1:16" x14ac:dyDescent="0.2">
      <c r="A52" s="4">
        <v>1020</v>
      </c>
      <c r="B52" s="4">
        <v>5248</v>
      </c>
      <c r="C52" s="4">
        <v>1762</v>
      </c>
      <c r="D52" s="4">
        <v>2516</v>
      </c>
      <c r="E52" s="4">
        <f t="shared" si="0"/>
        <v>1020</v>
      </c>
      <c r="F52" s="4">
        <f t="shared" si="1"/>
        <v>1040400</v>
      </c>
      <c r="G52" s="4">
        <f t="shared" si="2"/>
        <v>10194.240505596035</v>
      </c>
      <c r="H52" s="2">
        <f t="shared" si="3"/>
        <v>5.1450980392156866</v>
      </c>
      <c r="I52" s="2">
        <f t="shared" si="4"/>
        <v>5.0442137639369472E-3</v>
      </c>
      <c r="J52" s="2">
        <f t="shared" si="5"/>
        <v>0.5148004892683431</v>
      </c>
      <c r="K52" s="1">
        <f t="shared" si="6"/>
        <v>1.7274509803921569</v>
      </c>
      <c r="L52" s="1">
        <f t="shared" si="7"/>
        <v>1.6935793925413303E-3</v>
      </c>
      <c r="M52" s="1">
        <f t="shared" si="8"/>
        <v>0.17284269475815939</v>
      </c>
      <c r="N52" s="3">
        <f t="shared" si="9"/>
        <v>2.4666666666666668</v>
      </c>
      <c r="O52" s="3">
        <f t="shared" si="10"/>
        <v>2.4183006535947712E-3</v>
      </c>
      <c r="P52" s="3">
        <f t="shared" si="11"/>
        <v>0.24680602724831385</v>
      </c>
    </row>
    <row r="53" spans="1:16" x14ac:dyDescent="0.2">
      <c r="A53" s="4">
        <v>1040</v>
      </c>
      <c r="B53" s="4">
        <v>5378</v>
      </c>
      <c r="C53" s="4">
        <v>1812</v>
      </c>
      <c r="D53" s="4">
        <v>2608</v>
      </c>
      <c r="E53" s="4">
        <f t="shared" si="0"/>
        <v>1040</v>
      </c>
      <c r="F53" s="4">
        <f t="shared" si="1"/>
        <v>1081600</v>
      </c>
      <c r="G53" s="4">
        <f t="shared" si="2"/>
        <v>10423.262525549593</v>
      </c>
      <c r="H53" s="2">
        <f t="shared" si="3"/>
        <v>5.171153846153846</v>
      </c>
      <c r="I53" s="2">
        <f t="shared" si="4"/>
        <v>4.9722633136094676E-3</v>
      </c>
      <c r="J53" s="2">
        <f t="shared" si="5"/>
        <v>0.51596129204434782</v>
      </c>
      <c r="K53" s="1">
        <f t="shared" si="6"/>
        <v>1.7423076923076923</v>
      </c>
      <c r="L53" s="1">
        <f t="shared" si="7"/>
        <v>1.6752958579881656E-3</v>
      </c>
      <c r="M53" s="1">
        <f t="shared" si="8"/>
        <v>0.17384192286804728</v>
      </c>
      <c r="N53" s="3">
        <f t="shared" si="9"/>
        <v>2.5076923076923077</v>
      </c>
      <c r="O53" s="3">
        <f t="shared" si="10"/>
        <v>2.4112426035502958E-3</v>
      </c>
      <c r="P53" s="3">
        <f t="shared" si="11"/>
        <v>0.25020956668866851</v>
      </c>
    </row>
    <row r="54" spans="1:16" x14ac:dyDescent="0.2">
      <c r="A54" s="4">
        <v>1060</v>
      </c>
      <c r="B54" s="4">
        <v>5647</v>
      </c>
      <c r="C54" s="4">
        <v>1937</v>
      </c>
      <c r="D54" s="4">
        <v>2709</v>
      </c>
      <c r="E54" s="4">
        <f t="shared" si="0"/>
        <v>1060</v>
      </c>
      <c r="F54" s="4">
        <f t="shared" si="1"/>
        <v>1123600</v>
      </c>
      <c r="G54" s="4">
        <f t="shared" si="2"/>
        <v>10652.839462417596</v>
      </c>
      <c r="H54" s="2">
        <f t="shared" si="3"/>
        <v>5.3273584905660378</v>
      </c>
      <c r="I54" s="2">
        <f t="shared" si="4"/>
        <v>5.0258098967604133E-3</v>
      </c>
      <c r="J54" s="2">
        <f t="shared" si="5"/>
        <v>0.53009341029893342</v>
      </c>
      <c r="K54" s="1">
        <f t="shared" si="6"/>
        <v>1.8273584905660378</v>
      </c>
      <c r="L54" s="1">
        <f t="shared" si="7"/>
        <v>1.7239231043075828E-3</v>
      </c>
      <c r="M54" s="1">
        <f t="shared" si="8"/>
        <v>0.18182945559572056</v>
      </c>
      <c r="N54" s="3">
        <f t="shared" si="9"/>
        <v>2.5556603773584907</v>
      </c>
      <c r="O54" s="3">
        <f t="shared" si="10"/>
        <v>2.4110003559985761E-3</v>
      </c>
      <c r="P54" s="3">
        <f t="shared" si="11"/>
        <v>0.25429839711347807</v>
      </c>
    </row>
    <row r="55" spans="1:16" x14ac:dyDescent="0.2">
      <c r="A55" s="4">
        <v>1080</v>
      </c>
      <c r="B55" s="4">
        <v>5783</v>
      </c>
      <c r="C55" s="4">
        <v>1987</v>
      </c>
      <c r="D55" s="4">
        <v>2810</v>
      </c>
      <c r="E55" s="4">
        <f t="shared" si="0"/>
        <v>1080</v>
      </c>
      <c r="F55" s="4">
        <f t="shared" si="1"/>
        <v>1166400</v>
      </c>
      <c r="G55" s="4">
        <f t="shared" si="2"/>
        <v>10882.960844814897</v>
      </c>
      <c r="H55" s="2">
        <f t="shared" si="3"/>
        <v>5.3546296296296294</v>
      </c>
      <c r="I55" s="2">
        <f t="shared" si="4"/>
        <v>4.957990397805213E-3</v>
      </c>
      <c r="J55" s="2">
        <f t="shared" si="5"/>
        <v>0.53138112710892138</v>
      </c>
      <c r="K55" s="1">
        <f t="shared" si="6"/>
        <v>1.8398148148148148</v>
      </c>
      <c r="L55" s="1">
        <f t="shared" si="7"/>
        <v>1.7035322359396433E-3</v>
      </c>
      <c r="M55" s="1">
        <f t="shared" si="8"/>
        <v>0.18257899006837747</v>
      </c>
      <c r="N55" s="3">
        <f t="shared" si="9"/>
        <v>2.6018518518518516</v>
      </c>
      <c r="O55" s="3">
        <f t="shared" si="10"/>
        <v>2.4091220850480108E-3</v>
      </c>
      <c r="P55" s="3">
        <f t="shared" si="11"/>
        <v>0.25820179269861132</v>
      </c>
    </row>
    <row r="56" spans="1:16" x14ac:dyDescent="0.2">
      <c r="A56" s="4">
        <v>1100</v>
      </c>
      <c r="B56" s="4">
        <v>5991</v>
      </c>
      <c r="C56" s="4">
        <v>2026</v>
      </c>
      <c r="D56" s="4">
        <v>2918</v>
      </c>
      <c r="E56" s="4">
        <f t="shared" si="0"/>
        <v>1100</v>
      </c>
      <c r="F56" s="4">
        <f t="shared" si="1"/>
        <v>1210000</v>
      </c>
      <c r="G56" s="4">
        <f t="shared" si="2"/>
        <v>11113.616589253224</v>
      </c>
      <c r="H56" s="2">
        <f t="shared" si="3"/>
        <v>5.4463636363636363</v>
      </c>
      <c r="I56" s="2">
        <f t="shared" si="4"/>
        <v>4.9512396694214875E-3</v>
      </c>
      <c r="J56" s="2">
        <f t="shared" si="5"/>
        <v>0.53906844382172114</v>
      </c>
      <c r="K56" s="1">
        <f t="shared" si="6"/>
        <v>1.8418181818181818</v>
      </c>
      <c r="L56" s="1">
        <f t="shared" si="7"/>
        <v>1.6743801652892563E-3</v>
      </c>
      <c r="M56" s="1">
        <f t="shared" si="8"/>
        <v>0.18229889286977249</v>
      </c>
      <c r="N56" s="3">
        <f t="shared" si="9"/>
        <v>2.6527272727272728</v>
      </c>
      <c r="O56" s="3">
        <f t="shared" si="10"/>
        <v>2.4115702479338844E-3</v>
      </c>
      <c r="P56" s="3">
        <f t="shared" si="11"/>
        <v>0.26256079437018565</v>
      </c>
    </row>
    <row r="57" spans="1:16" x14ac:dyDescent="0.2">
      <c r="A57" s="4">
        <v>1120</v>
      </c>
      <c r="B57" s="4">
        <v>6297</v>
      </c>
      <c r="C57" s="4">
        <v>2101</v>
      </c>
      <c r="D57" s="4">
        <v>3021</v>
      </c>
      <c r="E57" s="4">
        <f t="shared" si="0"/>
        <v>1120</v>
      </c>
      <c r="F57" s="4">
        <f t="shared" si="1"/>
        <v>1254400</v>
      </c>
      <c r="G57" s="4">
        <f t="shared" si="2"/>
        <v>11344.796978978364</v>
      </c>
      <c r="H57" s="2">
        <f t="shared" si="3"/>
        <v>5.6223214285714285</v>
      </c>
      <c r="I57" s="2">
        <f t="shared" si="4"/>
        <v>5.0199298469387754E-3</v>
      </c>
      <c r="J57" s="2">
        <f t="shared" si="5"/>
        <v>0.55505620873323602</v>
      </c>
      <c r="K57" s="1">
        <f t="shared" si="6"/>
        <v>1.8758928571428573</v>
      </c>
      <c r="L57" s="1">
        <f t="shared" si="7"/>
        <v>1.6749043367346938E-3</v>
      </c>
      <c r="M57" s="1">
        <f t="shared" si="8"/>
        <v>0.18519502851334427</v>
      </c>
      <c r="N57" s="3">
        <f t="shared" si="9"/>
        <v>2.6973214285714286</v>
      </c>
      <c r="O57" s="3">
        <f t="shared" si="10"/>
        <v>2.4083227040816325E-3</v>
      </c>
      <c r="P57" s="3">
        <f t="shared" si="11"/>
        <v>0.26628947222218613</v>
      </c>
    </row>
    <row r="58" spans="1:16" x14ac:dyDescent="0.2">
      <c r="A58" s="4">
        <v>1140</v>
      </c>
      <c r="B58" s="4">
        <v>6477</v>
      </c>
      <c r="C58" s="4">
        <v>2151</v>
      </c>
      <c r="D58" s="4">
        <v>3133</v>
      </c>
      <c r="E58" s="4">
        <f t="shared" si="0"/>
        <v>1140</v>
      </c>
      <c r="F58" s="4">
        <f t="shared" si="1"/>
        <v>1299600</v>
      </c>
      <c r="G58" s="4">
        <f t="shared" si="2"/>
        <v>11576.4926443194</v>
      </c>
      <c r="H58" s="2">
        <f t="shared" si="3"/>
        <v>5.6815789473684211</v>
      </c>
      <c r="I58" s="2">
        <f t="shared" si="4"/>
        <v>4.9838411819021237E-3</v>
      </c>
      <c r="J58" s="2">
        <f t="shared" si="5"/>
        <v>0.55949588523932359</v>
      </c>
      <c r="K58" s="1">
        <f t="shared" si="6"/>
        <v>1.8868421052631579</v>
      </c>
      <c r="L58" s="1">
        <f t="shared" si="7"/>
        <v>1.6551246537396121E-3</v>
      </c>
      <c r="M58" s="1">
        <f t="shared" si="8"/>
        <v>0.18580757281917321</v>
      </c>
      <c r="N58" s="3">
        <f t="shared" si="9"/>
        <v>2.7482456140350879</v>
      </c>
      <c r="O58" s="3">
        <f t="shared" si="10"/>
        <v>2.4107417666974452E-3</v>
      </c>
      <c r="P58" s="3">
        <f t="shared" si="11"/>
        <v>0.27063464697464884</v>
      </c>
    </row>
    <row r="59" spans="1:16" x14ac:dyDescent="0.2">
      <c r="A59" s="4">
        <v>1160</v>
      </c>
      <c r="B59" s="4">
        <v>6722</v>
      </c>
      <c r="C59" s="4">
        <v>2236</v>
      </c>
      <c r="D59" s="4">
        <v>3241</v>
      </c>
      <c r="E59" s="4">
        <f t="shared" si="0"/>
        <v>1160</v>
      </c>
      <c r="F59" s="4">
        <f t="shared" si="1"/>
        <v>1345600</v>
      </c>
      <c r="G59" s="4">
        <f t="shared" si="2"/>
        <v>11808.694544417323</v>
      </c>
      <c r="H59" s="2">
        <f t="shared" si="3"/>
        <v>5.794827586206897</v>
      </c>
      <c r="I59" s="2">
        <f t="shared" si="4"/>
        <v>4.9955410225921522E-3</v>
      </c>
      <c r="J59" s="2">
        <f t="shared" si="5"/>
        <v>0.56924158506393852</v>
      </c>
      <c r="K59" s="1">
        <f t="shared" si="6"/>
        <v>1.9275862068965517</v>
      </c>
      <c r="L59" s="1">
        <f t="shared" si="7"/>
        <v>1.6617122473246136E-3</v>
      </c>
      <c r="M59" s="1">
        <f t="shared" si="8"/>
        <v>0.18935200598080429</v>
      </c>
      <c r="N59" s="3">
        <f t="shared" si="9"/>
        <v>2.7939655172413791</v>
      </c>
      <c r="O59" s="3">
        <f t="shared" si="10"/>
        <v>2.4085909631391201E-3</v>
      </c>
      <c r="P59" s="3">
        <f t="shared" si="11"/>
        <v>0.2744587886331783</v>
      </c>
    </row>
    <row r="60" spans="1:16" x14ac:dyDescent="0.2">
      <c r="A60" s="4">
        <v>1180</v>
      </c>
      <c r="B60" s="4">
        <v>7000</v>
      </c>
      <c r="C60" s="4">
        <v>2409</v>
      </c>
      <c r="D60" s="4">
        <v>3354</v>
      </c>
      <c r="E60" s="4">
        <f t="shared" si="0"/>
        <v>1180</v>
      </c>
      <c r="F60" s="4">
        <f t="shared" si="1"/>
        <v>1392400</v>
      </c>
      <c r="G60" s="4">
        <f t="shared" si="2"/>
        <v>12041.39395021406</v>
      </c>
      <c r="H60" s="2">
        <f t="shared" si="3"/>
        <v>5.9322033898305087</v>
      </c>
      <c r="I60" s="2">
        <f t="shared" si="4"/>
        <v>5.0272910083309398E-3</v>
      </c>
      <c r="J60" s="2">
        <f t="shared" si="5"/>
        <v>0.58132804465512578</v>
      </c>
      <c r="K60" s="1">
        <f t="shared" si="6"/>
        <v>2.0415254237288134</v>
      </c>
      <c r="L60" s="1">
        <f t="shared" si="7"/>
        <v>1.7301062912956047E-3</v>
      </c>
      <c r="M60" s="1">
        <f t="shared" si="8"/>
        <v>0.2000598942248854</v>
      </c>
      <c r="N60" s="3">
        <f t="shared" si="9"/>
        <v>2.8423728813559324</v>
      </c>
      <c r="O60" s="3">
        <f t="shared" si="10"/>
        <v>2.4087905774202814E-3</v>
      </c>
      <c r="P60" s="3">
        <f t="shared" si="11"/>
        <v>0.27853918025332741</v>
      </c>
    </row>
    <row r="61" spans="1:16" x14ac:dyDescent="0.2">
      <c r="A61" s="4">
        <v>1200</v>
      </c>
      <c r="B61" s="4">
        <v>7202</v>
      </c>
      <c r="C61" s="4">
        <v>2489</v>
      </c>
      <c r="D61" s="4">
        <v>3460</v>
      </c>
      <c r="E61" s="4">
        <f t="shared" si="0"/>
        <v>1200</v>
      </c>
      <c r="F61" s="4">
        <f t="shared" si="1"/>
        <v>1440000</v>
      </c>
      <c r="G61" s="4">
        <f t="shared" si="2"/>
        <v>12274.582428595058</v>
      </c>
      <c r="H61" s="2">
        <f t="shared" si="3"/>
        <v>6.0016666666666669</v>
      </c>
      <c r="I61" s="2">
        <f t="shared" si="4"/>
        <v>5.0013888888888886E-3</v>
      </c>
      <c r="J61" s="2">
        <f t="shared" si="5"/>
        <v>0.58674093737169486</v>
      </c>
      <c r="K61" s="1">
        <f t="shared" si="6"/>
        <v>2.0741666666666667</v>
      </c>
      <c r="L61" s="1">
        <f t="shared" si="7"/>
        <v>1.7284722222222222E-3</v>
      </c>
      <c r="M61" s="1">
        <f t="shared" si="8"/>
        <v>0.20277675550099258</v>
      </c>
      <c r="N61" s="3">
        <f t="shared" si="9"/>
        <v>2.8833333333333333</v>
      </c>
      <c r="O61" s="3">
        <f t="shared" si="10"/>
        <v>2.402777777777778E-3</v>
      </c>
      <c r="P61" s="3">
        <f t="shared" si="11"/>
        <v>0.28188331620467433</v>
      </c>
    </row>
    <row r="62" spans="1:16" x14ac:dyDescent="0.2">
      <c r="A62" s="4">
        <v>1220</v>
      </c>
      <c r="B62" s="4">
        <v>7561</v>
      </c>
      <c r="C62" s="4">
        <v>2591</v>
      </c>
      <c r="D62" s="4">
        <v>3581</v>
      </c>
      <c r="E62" s="4">
        <f t="shared" si="0"/>
        <v>1220</v>
      </c>
      <c r="F62" s="4">
        <f t="shared" si="1"/>
        <v>1488400</v>
      </c>
      <c r="G62" s="4">
        <f t="shared" si="2"/>
        <v>12508.251827589305</v>
      </c>
      <c r="H62" s="2">
        <f t="shared" si="3"/>
        <v>6.1975409836065571</v>
      </c>
      <c r="I62" s="2">
        <f t="shared" si="4"/>
        <v>5.0799516259070147E-3</v>
      </c>
      <c r="J62" s="2">
        <f t="shared" si="5"/>
        <v>0.60448095419079995</v>
      </c>
      <c r="K62" s="1">
        <f t="shared" si="6"/>
        <v>2.1237704918032785</v>
      </c>
      <c r="L62" s="1">
        <f t="shared" si="7"/>
        <v>1.7407954850846546E-3</v>
      </c>
      <c r="M62" s="1">
        <f t="shared" si="8"/>
        <v>0.20714325516576676</v>
      </c>
      <c r="N62" s="3">
        <f t="shared" si="9"/>
        <v>2.9352459016393442</v>
      </c>
      <c r="O62" s="3">
        <f t="shared" si="10"/>
        <v>2.4059392636388067E-3</v>
      </c>
      <c r="P62" s="3">
        <f t="shared" si="11"/>
        <v>0.28629100607819791</v>
      </c>
    </row>
    <row r="63" spans="1:16" x14ac:dyDescent="0.2">
      <c r="A63" s="4">
        <v>1240</v>
      </c>
      <c r="B63" s="4">
        <v>7711</v>
      </c>
      <c r="C63" s="4">
        <v>2585</v>
      </c>
      <c r="D63" s="4">
        <v>3702</v>
      </c>
      <c r="E63" s="4">
        <f t="shared" si="0"/>
        <v>1240</v>
      </c>
      <c r="F63" s="4">
        <f t="shared" si="1"/>
        <v>1537600</v>
      </c>
      <c r="G63" s="4">
        <f t="shared" si="2"/>
        <v>12742.394262540056</v>
      </c>
      <c r="H63" s="2">
        <f t="shared" si="3"/>
        <v>6.2185483870967744</v>
      </c>
      <c r="I63" s="2">
        <f t="shared" si="4"/>
        <v>5.0149583766909466E-3</v>
      </c>
      <c r="J63" s="2">
        <f t="shared" si="5"/>
        <v>0.60514530010021028</v>
      </c>
      <c r="K63" s="1">
        <f t="shared" si="6"/>
        <v>2.0846774193548385</v>
      </c>
      <c r="L63" s="1">
        <f t="shared" si="7"/>
        <v>1.681191467221644E-3</v>
      </c>
      <c r="M63" s="1">
        <f t="shared" si="8"/>
        <v>0.20286611344300914</v>
      </c>
      <c r="N63" s="3">
        <f t="shared" si="9"/>
        <v>2.9854838709677418</v>
      </c>
      <c r="O63" s="3">
        <f t="shared" si="10"/>
        <v>2.4076482830385016E-3</v>
      </c>
      <c r="P63" s="3">
        <f t="shared" si="11"/>
        <v>0.29052624834275431</v>
      </c>
    </row>
    <row r="64" spans="1:16" x14ac:dyDescent="0.2">
      <c r="A64" s="4">
        <v>1260</v>
      </c>
      <c r="B64" s="4">
        <v>7925</v>
      </c>
      <c r="C64" s="4">
        <v>2638</v>
      </c>
      <c r="D64" s="4">
        <v>3820</v>
      </c>
      <c r="E64" s="4">
        <f t="shared" si="0"/>
        <v>1260</v>
      </c>
      <c r="F64" s="4">
        <f t="shared" si="1"/>
        <v>1587600</v>
      </c>
      <c r="G64" s="4">
        <f t="shared" si="2"/>
        <v>12977.002103167972</v>
      </c>
      <c r="H64" s="2">
        <f t="shared" si="3"/>
        <v>6.2896825396825395</v>
      </c>
      <c r="I64" s="2">
        <f t="shared" si="4"/>
        <v>4.9918115394305866E-3</v>
      </c>
      <c r="J64" s="2">
        <f t="shared" si="5"/>
        <v>0.61069574752286837</v>
      </c>
      <c r="K64" s="1">
        <f t="shared" si="6"/>
        <v>2.0936507936507938</v>
      </c>
      <c r="L64" s="1">
        <f t="shared" si="7"/>
        <v>1.6616276140085664E-3</v>
      </c>
      <c r="M64" s="1">
        <f t="shared" si="8"/>
        <v>0.20328269803978888</v>
      </c>
      <c r="N64" s="3">
        <f t="shared" si="9"/>
        <v>3.0317460317460316</v>
      </c>
      <c r="O64" s="3">
        <f t="shared" si="10"/>
        <v>2.4061476442428825E-3</v>
      </c>
      <c r="P64" s="3">
        <f t="shared" si="11"/>
        <v>0.29436690921607034</v>
      </c>
    </row>
    <row r="65" spans="1:16" x14ac:dyDescent="0.2">
      <c r="A65" s="4">
        <v>1280</v>
      </c>
      <c r="B65" s="4">
        <v>8259</v>
      </c>
      <c r="C65" s="4">
        <v>2797</v>
      </c>
      <c r="D65" s="4">
        <v>3939</v>
      </c>
      <c r="E65" s="4">
        <f t="shared" si="0"/>
        <v>1280</v>
      </c>
      <c r="F65" s="4">
        <f t="shared" si="1"/>
        <v>1638400</v>
      </c>
      <c r="G65" s="4">
        <f t="shared" si="2"/>
        <v>13212.067961455823</v>
      </c>
      <c r="H65" s="2">
        <f t="shared" si="3"/>
        <v>6.4523437499999998</v>
      </c>
      <c r="I65" s="2">
        <f t="shared" si="4"/>
        <v>5.0408935546875002E-3</v>
      </c>
      <c r="J65" s="2">
        <f t="shared" si="5"/>
        <v>0.62511031763493519</v>
      </c>
      <c r="K65" s="1">
        <f t="shared" si="6"/>
        <v>2.1851562499999999</v>
      </c>
      <c r="L65" s="1">
        <f t="shared" si="7"/>
        <v>1.7071533203124999E-3</v>
      </c>
      <c r="M65" s="1">
        <f t="shared" si="8"/>
        <v>0.21170039453019901</v>
      </c>
      <c r="N65" s="3">
        <f t="shared" si="9"/>
        <v>3.0773437499999998</v>
      </c>
      <c r="O65" s="3">
        <f t="shared" si="10"/>
        <v>2.4041748046875E-3</v>
      </c>
      <c r="P65" s="3">
        <f t="shared" si="11"/>
        <v>0.29813652272236463</v>
      </c>
    </row>
    <row r="66" spans="1:16" x14ac:dyDescent="0.2">
      <c r="A66" s="4">
        <v>1300</v>
      </c>
      <c r="B66" s="4">
        <v>8606</v>
      </c>
      <c r="C66" s="4">
        <v>2924</v>
      </c>
      <c r="D66" s="4">
        <v>4061</v>
      </c>
      <c r="E66" s="4">
        <f t="shared" si="0"/>
        <v>1300</v>
      </c>
      <c r="F66" s="4">
        <f t="shared" si="1"/>
        <v>1690000</v>
      </c>
      <c r="G66" s="4">
        <f t="shared" si="2"/>
        <v>13447.584680290563</v>
      </c>
      <c r="H66" s="2">
        <f t="shared" si="3"/>
        <v>6.62</v>
      </c>
      <c r="I66" s="2">
        <f t="shared" si="4"/>
        <v>5.092307692307692E-3</v>
      </c>
      <c r="J66" s="2">
        <f t="shared" si="5"/>
        <v>0.63996622476104381</v>
      </c>
      <c r="K66" s="1">
        <f t="shared" si="6"/>
        <v>2.2492307692307691</v>
      </c>
      <c r="L66" s="1">
        <f t="shared" si="7"/>
        <v>1.7301775147928993E-3</v>
      </c>
      <c r="M66" s="1">
        <f t="shared" si="8"/>
        <v>0.21743681631434952</v>
      </c>
      <c r="N66" s="3">
        <f t="shared" si="9"/>
        <v>3.1238461538461539</v>
      </c>
      <c r="O66" s="3">
        <f t="shared" si="10"/>
        <v>2.4029585798816568E-3</v>
      </c>
      <c r="P66" s="3">
        <f t="shared" si="11"/>
        <v>0.30198731568145465</v>
      </c>
    </row>
    <row r="67" spans="1:16" x14ac:dyDescent="0.2">
      <c r="A67" s="4">
        <v>1320</v>
      </c>
      <c r="B67" s="4">
        <v>8852</v>
      </c>
      <c r="C67" s="4">
        <v>2983</v>
      </c>
      <c r="D67" s="4">
        <v>4191</v>
      </c>
      <c r="E67" s="4">
        <f t="shared" ref="E67:E130" si="12">A67</f>
        <v>1320</v>
      </c>
      <c r="F67" s="4">
        <f t="shared" ref="F67:F130" si="13">A67 * A67</f>
        <v>1742400</v>
      </c>
      <c r="G67" s="4">
        <f t="shared" ref="G67:G130" si="14">A67 * LOG(A67, 2)</f>
        <v>13683.545322804477</v>
      </c>
      <c r="H67" s="2">
        <f t="shared" ref="H67:H130" si="15">B67/E67</f>
        <v>6.7060606060606061</v>
      </c>
      <c r="I67" s="2">
        <f t="shared" ref="I67:I130" si="16">B67/F67</f>
        <v>5.0803489439853076E-3</v>
      </c>
      <c r="J67" s="2">
        <f t="shared" ref="J67:J130" si="17">B67/G67</f>
        <v>0.64690836995640255</v>
      </c>
      <c r="K67" s="1">
        <f t="shared" ref="K67:K130" si="18">C67/E67</f>
        <v>2.2598484848484848</v>
      </c>
      <c r="L67" s="1">
        <f t="shared" ref="L67:L130" si="19">C67/F67</f>
        <v>1.7120064279155188E-3</v>
      </c>
      <c r="M67" s="1">
        <f t="shared" ref="M67:M130" si="20">C67/G67</f>
        <v>0.21799905869633401</v>
      </c>
      <c r="N67" s="3">
        <f t="shared" ref="N67:N130" si="21">D67/E67</f>
        <v>3.1749999999999998</v>
      </c>
      <c r="O67" s="3">
        <f t="shared" ref="O67:O130" si="22">D67/F67</f>
        <v>2.4053030303030302E-3</v>
      </c>
      <c r="P67" s="3">
        <f t="shared" ref="P67:P130" si="23">D67/G67</f>
        <v>0.30628027321365603</v>
      </c>
    </row>
    <row r="68" spans="1:16" x14ac:dyDescent="0.2">
      <c r="A68" s="4">
        <v>1340</v>
      </c>
      <c r="B68" s="4">
        <v>8984</v>
      </c>
      <c r="C68" s="4">
        <v>3016</v>
      </c>
      <c r="D68" s="4">
        <v>4317</v>
      </c>
      <c r="E68" s="4">
        <f t="shared" si="12"/>
        <v>1340</v>
      </c>
      <c r="F68" s="4">
        <f t="shared" si="13"/>
        <v>1795600</v>
      </c>
      <c r="G68" s="4">
        <f t="shared" si="14"/>
        <v>13919.943162362482</v>
      </c>
      <c r="H68" s="2">
        <f t="shared" si="15"/>
        <v>6.7044776119402982</v>
      </c>
      <c r="I68" s="2">
        <f t="shared" si="16"/>
        <v>5.0033415014479844E-3</v>
      </c>
      <c r="J68" s="2">
        <f t="shared" si="17"/>
        <v>0.6454049341445186</v>
      </c>
      <c r="K68" s="1">
        <f t="shared" si="18"/>
        <v>2.2507462686567163</v>
      </c>
      <c r="L68" s="1">
        <f t="shared" si="19"/>
        <v>1.6796613945199376E-3</v>
      </c>
      <c r="M68" s="1">
        <f t="shared" si="20"/>
        <v>0.21666755135572888</v>
      </c>
      <c r="N68" s="3">
        <f t="shared" si="21"/>
        <v>3.2216417910447763</v>
      </c>
      <c r="O68" s="3">
        <f t="shared" si="22"/>
        <v>2.4042102918244599E-3</v>
      </c>
      <c r="P68" s="3">
        <f t="shared" si="23"/>
        <v>0.31013057665871402</v>
      </c>
    </row>
    <row r="69" spans="1:16" x14ac:dyDescent="0.2">
      <c r="A69" s="4">
        <v>1360</v>
      </c>
      <c r="B69" s="4">
        <v>9282</v>
      </c>
      <c r="C69" s="4">
        <v>3108</v>
      </c>
      <c r="D69" s="4">
        <v>4446</v>
      </c>
      <c r="E69" s="4">
        <f t="shared" si="12"/>
        <v>1360</v>
      </c>
      <c r="F69" s="4">
        <f t="shared" si="13"/>
        <v>1849600</v>
      </c>
      <c r="G69" s="4">
        <f t="shared" si="14"/>
        <v>14156.771673147274</v>
      </c>
      <c r="H69" s="2">
        <f t="shared" si="15"/>
        <v>6.8250000000000002</v>
      </c>
      <c r="I69" s="2">
        <f t="shared" si="16"/>
        <v>5.0183823529411763E-3</v>
      </c>
      <c r="J69" s="2">
        <f t="shared" si="17"/>
        <v>0.65565795749932199</v>
      </c>
      <c r="K69" s="1">
        <f t="shared" si="18"/>
        <v>2.2852941176470587</v>
      </c>
      <c r="L69" s="1">
        <f t="shared" si="19"/>
        <v>1.6803633217993079E-3</v>
      </c>
      <c r="M69" s="1">
        <f t="shared" si="20"/>
        <v>0.21954157852918471</v>
      </c>
      <c r="N69" s="3">
        <f t="shared" si="21"/>
        <v>3.2691176470588235</v>
      </c>
      <c r="O69" s="3">
        <f t="shared" si="22"/>
        <v>2.4037629757785468E-3</v>
      </c>
      <c r="P69" s="3">
        <f t="shared" si="23"/>
        <v>0.31405465191143994</v>
      </c>
    </row>
    <row r="70" spans="1:16" x14ac:dyDescent="0.2">
      <c r="A70" s="4">
        <v>1380</v>
      </c>
      <c r="B70" s="4">
        <v>9560</v>
      </c>
      <c r="C70" s="4">
        <v>3228</v>
      </c>
      <c r="D70" s="4">
        <v>4573</v>
      </c>
      <c r="E70" s="4">
        <f t="shared" si="12"/>
        <v>1380</v>
      </c>
      <c r="F70" s="4">
        <f t="shared" si="13"/>
        <v>1904400</v>
      </c>
      <c r="G70" s="4">
        <f t="shared" si="14"/>
        <v>14394.024521298434</v>
      </c>
      <c r="H70" s="2">
        <f t="shared" si="15"/>
        <v>6.9275362318840576</v>
      </c>
      <c r="I70" s="2">
        <f t="shared" si="16"/>
        <v>5.019953791220332E-3</v>
      </c>
      <c r="J70" s="2">
        <f t="shared" si="17"/>
        <v>0.66416449310992465</v>
      </c>
      <c r="K70" s="1">
        <f t="shared" si="18"/>
        <v>2.3391304347826085</v>
      </c>
      <c r="L70" s="1">
        <f t="shared" si="19"/>
        <v>1.6950220541902962E-3</v>
      </c>
      <c r="M70" s="1">
        <f t="shared" si="20"/>
        <v>0.22425972633460636</v>
      </c>
      <c r="N70" s="3">
        <f t="shared" si="21"/>
        <v>3.3137681159420289</v>
      </c>
      <c r="O70" s="3">
        <f t="shared" si="22"/>
        <v>2.4012812434362528E-3</v>
      </c>
      <c r="P70" s="3">
        <f t="shared" si="23"/>
        <v>0.31770127897402567</v>
      </c>
    </row>
    <row r="71" spans="1:16" x14ac:dyDescent="0.2">
      <c r="A71" s="4">
        <v>1400</v>
      </c>
      <c r="B71" s="4">
        <v>10012</v>
      </c>
      <c r="C71" s="4">
        <v>3430</v>
      </c>
      <c r="D71" s="4">
        <v>4706</v>
      </c>
      <c r="E71" s="4">
        <f t="shared" si="12"/>
        <v>1400</v>
      </c>
      <c r="F71" s="4">
        <f t="shared" si="13"/>
        <v>1960000</v>
      </c>
      <c r="G71" s="4">
        <f t="shared" si="14"/>
        <v>14631.695556565261</v>
      </c>
      <c r="H71" s="2">
        <f t="shared" si="15"/>
        <v>7.1514285714285712</v>
      </c>
      <c r="I71" s="2">
        <f t="shared" si="16"/>
        <v>5.1081632653061223E-3</v>
      </c>
      <c r="J71" s="2">
        <f t="shared" si="17"/>
        <v>0.68426792788943747</v>
      </c>
      <c r="K71" s="1">
        <f t="shared" si="18"/>
        <v>2.4500000000000002</v>
      </c>
      <c r="L71" s="1">
        <f t="shared" si="19"/>
        <v>1.75E-3</v>
      </c>
      <c r="M71" s="1">
        <f t="shared" si="20"/>
        <v>0.23442259215549047</v>
      </c>
      <c r="N71" s="3">
        <f t="shared" si="21"/>
        <v>3.3614285714285712</v>
      </c>
      <c r="O71" s="3">
        <f t="shared" si="22"/>
        <v>2.4010204081632651E-3</v>
      </c>
      <c r="P71" s="3">
        <f t="shared" si="23"/>
        <v>0.32163053022849508</v>
      </c>
    </row>
    <row r="72" spans="1:16" x14ac:dyDescent="0.2">
      <c r="A72" s="4">
        <v>1420</v>
      </c>
      <c r="B72" s="4">
        <v>10170</v>
      </c>
      <c r="C72" s="4">
        <v>3382</v>
      </c>
      <c r="D72" s="4">
        <v>4843</v>
      </c>
      <c r="E72" s="4">
        <f t="shared" si="12"/>
        <v>1420</v>
      </c>
      <c r="F72" s="4">
        <f t="shared" si="13"/>
        <v>2016400</v>
      </c>
      <c r="G72" s="4">
        <f t="shared" si="14"/>
        <v>14869.778804436704</v>
      </c>
      <c r="H72" s="2">
        <f t="shared" si="15"/>
        <v>7.1619718309859151</v>
      </c>
      <c r="I72" s="2">
        <f t="shared" si="16"/>
        <v>5.0436421344971236E-3</v>
      </c>
      <c r="J72" s="2">
        <f t="shared" si="17"/>
        <v>0.68393754431408027</v>
      </c>
      <c r="K72" s="1">
        <f t="shared" si="18"/>
        <v>2.3816901408450706</v>
      </c>
      <c r="L72" s="1">
        <f t="shared" si="19"/>
        <v>1.6772465780599088E-3</v>
      </c>
      <c r="M72" s="1">
        <f t="shared" si="20"/>
        <v>0.22744117747003142</v>
      </c>
      <c r="N72" s="3">
        <f t="shared" si="21"/>
        <v>3.4105633802816899</v>
      </c>
      <c r="O72" s="3">
        <f t="shared" si="22"/>
        <v>2.4018051973814718E-3</v>
      </c>
      <c r="P72" s="3">
        <f t="shared" si="23"/>
        <v>0.32569415212518099</v>
      </c>
    </row>
    <row r="73" spans="1:16" x14ac:dyDescent="0.2">
      <c r="A73" s="4">
        <v>1440</v>
      </c>
      <c r="B73" s="4">
        <v>10530</v>
      </c>
      <c r="C73" s="4">
        <v>3510</v>
      </c>
      <c r="D73" s="4">
        <v>4976</v>
      </c>
      <c r="E73" s="4">
        <f t="shared" si="12"/>
        <v>1440</v>
      </c>
      <c r="F73" s="4">
        <f t="shared" si="13"/>
        <v>2073600</v>
      </c>
      <c r="G73" s="4">
        <f t="shared" si="14"/>
        <v>15108.268458714732</v>
      </c>
      <c r="H73" s="2">
        <f t="shared" si="15"/>
        <v>7.3125</v>
      </c>
      <c r="I73" s="2">
        <f t="shared" si="16"/>
        <v>5.0781250000000002E-3</v>
      </c>
      <c r="J73" s="2">
        <f t="shared" si="17"/>
        <v>0.69696934686953482</v>
      </c>
      <c r="K73" s="1">
        <f t="shared" si="18"/>
        <v>2.4375</v>
      </c>
      <c r="L73" s="1">
        <f t="shared" si="19"/>
        <v>1.6927083333333334E-3</v>
      </c>
      <c r="M73" s="1">
        <f t="shared" si="20"/>
        <v>0.23232311562317826</v>
      </c>
      <c r="N73" s="3">
        <f t="shared" si="21"/>
        <v>3.4555555555555557</v>
      </c>
      <c r="O73" s="3">
        <f t="shared" si="22"/>
        <v>2.3996913580246913E-3</v>
      </c>
      <c r="P73" s="3">
        <f t="shared" si="23"/>
        <v>0.32935607502590741</v>
      </c>
    </row>
    <row r="74" spans="1:16" x14ac:dyDescent="0.2">
      <c r="A74" s="4">
        <v>1460</v>
      </c>
      <c r="B74" s="4">
        <v>10705</v>
      </c>
      <c r="C74" s="4">
        <v>3503</v>
      </c>
      <c r="D74" s="4">
        <v>5114</v>
      </c>
      <c r="E74" s="4">
        <f t="shared" si="12"/>
        <v>1460</v>
      </c>
      <c r="F74" s="4">
        <f t="shared" si="13"/>
        <v>2131600</v>
      </c>
      <c r="G74" s="4">
        <f t="shared" si="14"/>
        <v>15347.158874500374</v>
      </c>
      <c r="H74" s="2">
        <f t="shared" si="15"/>
        <v>7.3321917808219181</v>
      </c>
      <c r="I74" s="2">
        <f t="shared" si="16"/>
        <v>5.0220491649465189E-3</v>
      </c>
      <c r="J74" s="2">
        <f t="shared" si="17"/>
        <v>0.69752324111185049</v>
      </c>
      <c r="K74" s="1">
        <f t="shared" si="18"/>
        <v>2.3993150684931508</v>
      </c>
      <c r="L74" s="1">
        <f t="shared" si="19"/>
        <v>1.6433664852692812E-3</v>
      </c>
      <c r="M74" s="1">
        <f t="shared" si="20"/>
        <v>0.22825071589115481</v>
      </c>
      <c r="N74" s="3">
        <f t="shared" si="21"/>
        <v>3.5027397260273974</v>
      </c>
      <c r="O74" s="3">
        <f t="shared" si="22"/>
        <v>2.3991367986489023E-3</v>
      </c>
      <c r="P74" s="3">
        <f t="shared" si="23"/>
        <v>0.33322128491788916</v>
      </c>
    </row>
    <row r="75" spans="1:16" x14ac:dyDescent="0.2">
      <c r="A75" s="4">
        <v>1480</v>
      </c>
      <c r="B75" s="4">
        <v>10984</v>
      </c>
      <c r="C75" s="4">
        <v>3724</v>
      </c>
      <c r="D75" s="4">
        <v>5255</v>
      </c>
      <c r="E75" s="4">
        <f t="shared" si="12"/>
        <v>1480</v>
      </c>
      <c r="F75" s="4">
        <f t="shared" si="13"/>
        <v>2190400</v>
      </c>
      <c r="G75" s="4">
        <f t="shared" si="14"/>
        <v>15586.444561564143</v>
      </c>
      <c r="H75" s="2">
        <f t="shared" si="15"/>
        <v>7.4216216216216218</v>
      </c>
      <c r="I75" s="2">
        <f t="shared" si="16"/>
        <v>5.0146092037983928E-3</v>
      </c>
      <c r="J75" s="2">
        <f t="shared" si="17"/>
        <v>0.70471491792851348</v>
      </c>
      <c r="K75" s="1">
        <f t="shared" si="18"/>
        <v>2.5162162162162161</v>
      </c>
      <c r="L75" s="1">
        <f t="shared" si="19"/>
        <v>1.7001460920379838E-3</v>
      </c>
      <c r="M75" s="1">
        <f t="shared" si="20"/>
        <v>0.23892556030278442</v>
      </c>
      <c r="N75" s="3">
        <f t="shared" si="21"/>
        <v>3.5506756756756759</v>
      </c>
      <c r="O75" s="3">
        <f t="shared" si="22"/>
        <v>2.3991051862673482E-3</v>
      </c>
      <c r="P75" s="3">
        <f t="shared" si="23"/>
        <v>0.33715193861201187</v>
      </c>
    </row>
    <row r="76" spans="1:16" x14ac:dyDescent="0.2">
      <c r="A76" s="4">
        <v>1500</v>
      </c>
      <c r="B76" s="4">
        <v>11515</v>
      </c>
      <c r="C76" s="4">
        <v>3913</v>
      </c>
      <c r="D76" s="4">
        <v>5401</v>
      </c>
      <c r="E76" s="4">
        <f t="shared" si="12"/>
        <v>1500</v>
      </c>
      <c r="F76" s="4">
        <f t="shared" si="13"/>
        <v>2250000</v>
      </c>
      <c r="G76" s="4">
        <f t="shared" si="14"/>
        <v>15826.120178074865</v>
      </c>
      <c r="H76" s="2">
        <f t="shared" si="15"/>
        <v>7.6766666666666667</v>
      </c>
      <c r="I76" s="2">
        <f t="shared" si="16"/>
        <v>5.1177777777777775E-3</v>
      </c>
      <c r="J76" s="2">
        <f t="shared" si="17"/>
        <v>0.72759462650565554</v>
      </c>
      <c r="K76" s="1">
        <f t="shared" si="18"/>
        <v>2.6086666666666667</v>
      </c>
      <c r="L76" s="1">
        <f t="shared" si="19"/>
        <v>1.7391111111111112E-3</v>
      </c>
      <c r="M76" s="1">
        <f t="shared" si="20"/>
        <v>0.24724948098277291</v>
      </c>
      <c r="N76" s="3">
        <f t="shared" si="21"/>
        <v>3.6006666666666667</v>
      </c>
      <c r="O76" s="3">
        <f t="shared" si="22"/>
        <v>2.4004444444444446E-3</v>
      </c>
      <c r="P76" s="3">
        <f t="shared" si="23"/>
        <v>0.34127126163760707</v>
      </c>
    </row>
    <row r="77" spans="1:16" x14ac:dyDescent="0.2">
      <c r="A77" s="4">
        <v>1520</v>
      </c>
      <c r="B77" s="4">
        <v>11628</v>
      </c>
      <c r="C77" s="4">
        <v>3958</v>
      </c>
      <c r="D77" s="4">
        <v>5542</v>
      </c>
      <c r="E77" s="4">
        <f t="shared" si="12"/>
        <v>1520</v>
      </c>
      <c r="F77" s="4">
        <f t="shared" si="13"/>
        <v>2310400</v>
      </c>
      <c r="G77" s="4">
        <f t="shared" si="14"/>
        <v>16066.180524663043</v>
      </c>
      <c r="H77" s="2">
        <f t="shared" si="15"/>
        <v>7.65</v>
      </c>
      <c r="I77" s="2">
        <f t="shared" si="16"/>
        <v>5.0328947368421051E-3</v>
      </c>
      <c r="J77" s="2">
        <f t="shared" si="17"/>
        <v>0.72375633910934623</v>
      </c>
      <c r="K77" s="1">
        <f t="shared" si="18"/>
        <v>2.6039473684210526</v>
      </c>
      <c r="L77" s="1">
        <f t="shared" si="19"/>
        <v>1.713123268698061E-3</v>
      </c>
      <c r="M77" s="1">
        <f t="shared" si="20"/>
        <v>0.24635600190873688</v>
      </c>
      <c r="N77" s="3">
        <f t="shared" si="21"/>
        <v>3.6460526315789474</v>
      </c>
      <c r="O77" s="3">
        <f t="shared" si="22"/>
        <v>2.3987188365650969E-3</v>
      </c>
      <c r="P77" s="3">
        <f t="shared" si="23"/>
        <v>0.34494819671001004</v>
      </c>
    </row>
    <row r="78" spans="1:16" x14ac:dyDescent="0.2">
      <c r="A78" s="4">
        <v>1540</v>
      </c>
      <c r="B78" s="4">
        <v>12033</v>
      </c>
      <c r="C78" s="4">
        <v>3986</v>
      </c>
      <c r="D78" s="4">
        <v>5687</v>
      </c>
      <c r="E78" s="4">
        <f t="shared" si="12"/>
        <v>1540</v>
      </c>
      <c r="F78" s="4">
        <f t="shared" si="13"/>
        <v>2371600</v>
      </c>
      <c r="G78" s="4">
        <f t="shared" si="14"/>
        <v>16306.620538796686</v>
      </c>
      <c r="H78" s="2">
        <f t="shared" si="15"/>
        <v>7.8136363636363635</v>
      </c>
      <c r="I78" s="2">
        <f t="shared" si="16"/>
        <v>5.073789846517119E-3</v>
      </c>
      <c r="J78" s="2">
        <f t="shared" si="17"/>
        <v>0.73792113892459232</v>
      </c>
      <c r="K78" s="1">
        <f t="shared" si="18"/>
        <v>2.5883116883116881</v>
      </c>
      <c r="L78" s="1">
        <f t="shared" si="19"/>
        <v>1.6807218755270704E-3</v>
      </c>
      <c r="M78" s="1">
        <f t="shared" si="20"/>
        <v>0.24444059334774579</v>
      </c>
      <c r="N78" s="3">
        <f t="shared" si="21"/>
        <v>3.6928571428571431</v>
      </c>
      <c r="O78" s="3">
        <f t="shared" si="22"/>
        <v>2.3979591836734695E-3</v>
      </c>
      <c r="P78" s="3">
        <f t="shared" si="23"/>
        <v>0.34875405277687666</v>
      </c>
    </row>
    <row r="79" spans="1:16" x14ac:dyDescent="0.2">
      <c r="A79" s="4">
        <v>1560</v>
      </c>
      <c r="B79" s="4">
        <v>12417</v>
      </c>
      <c r="C79" s="4">
        <v>4248</v>
      </c>
      <c r="D79" s="4">
        <v>5834</v>
      </c>
      <c r="E79" s="4">
        <f t="shared" si="12"/>
        <v>1560</v>
      </c>
      <c r="F79" s="4">
        <f t="shared" si="13"/>
        <v>2433600</v>
      </c>
      <c r="G79" s="4">
        <f t="shared" si="14"/>
        <v>16547.435289449397</v>
      </c>
      <c r="H79" s="2">
        <f t="shared" si="15"/>
        <v>7.9596153846153843</v>
      </c>
      <c r="I79" s="2">
        <f t="shared" si="16"/>
        <v>5.1023175542406311E-3</v>
      </c>
      <c r="J79" s="2">
        <f t="shared" si="17"/>
        <v>0.75038818903356264</v>
      </c>
      <c r="K79" s="1">
        <f t="shared" si="18"/>
        <v>2.7230769230769232</v>
      </c>
      <c r="L79" s="1">
        <f t="shared" si="19"/>
        <v>1.7455621301775148E-3</v>
      </c>
      <c r="M79" s="1">
        <f t="shared" si="20"/>
        <v>0.25671651985298982</v>
      </c>
      <c r="N79" s="3">
        <f t="shared" si="21"/>
        <v>3.7397435897435898</v>
      </c>
      <c r="O79" s="3">
        <f t="shared" si="22"/>
        <v>2.3972715318869163E-3</v>
      </c>
      <c r="P79" s="3">
        <f t="shared" si="23"/>
        <v>0.3525621885175006</v>
      </c>
    </row>
    <row r="80" spans="1:16" x14ac:dyDescent="0.2">
      <c r="A80" s="4">
        <v>1580</v>
      </c>
      <c r="B80" s="4">
        <v>12689</v>
      </c>
      <c r="C80" s="4">
        <v>4225</v>
      </c>
      <c r="D80" s="4">
        <v>5982</v>
      </c>
      <c r="E80" s="4">
        <f t="shared" si="12"/>
        <v>1580</v>
      </c>
      <c r="F80" s="4">
        <f t="shared" si="13"/>
        <v>2496400</v>
      </c>
      <c r="G80" s="4">
        <f t="shared" si="14"/>
        <v>16788.619972041855</v>
      </c>
      <c r="H80" s="2">
        <f t="shared" si="15"/>
        <v>8.0310126582278478</v>
      </c>
      <c r="I80" s="2">
        <f t="shared" si="16"/>
        <v>5.0829194039416761E-3</v>
      </c>
      <c r="J80" s="2">
        <f t="shared" si="17"/>
        <v>0.75580959132620984</v>
      </c>
      <c r="K80" s="1">
        <f t="shared" si="18"/>
        <v>2.6740506329113924</v>
      </c>
      <c r="L80" s="1">
        <f t="shared" si="19"/>
        <v>1.69243710943759E-3</v>
      </c>
      <c r="M80" s="1">
        <f t="shared" si="20"/>
        <v>0.2516585643749103</v>
      </c>
      <c r="N80" s="3">
        <f t="shared" si="21"/>
        <v>3.7860759493670888</v>
      </c>
      <c r="O80" s="3">
        <f t="shared" si="22"/>
        <v>2.396250600865246E-3</v>
      </c>
      <c r="P80" s="3">
        <f t="shared" si="23"/>
        <v>0.3563127886605239</v>
      </c>
    </row>
    <row r="81" spans="1:16" x14ac:dyDescent="0.2">
      <c r="A81" s="4">
        <v>1600</v>
      </c>
      <c r="B81" s="4">
        <v>13123</v>
      </c>
      <c r="C81" s="4">
        <v>4470</v>
      </c>
      <c r="D81" s="4">
        <v>6131</v>
      </c>
      <c r="E81" s="4">
        <f t="shared" si="12"/>
        <v>1600</v>
      </c>
      <c r="F81" s="4">
        <f t="shared" si="13"/>
        <v>2560000</v>
      </c>
      <c r="G81" s="4">
        <f t="shared" si="14"/>
        <v>17030.169903639562</v>
      </c>
      <c r="H81" s="2">
        <f t="shared" si="15"/>
        <v>8.2018749999999994</v>
      </c>
      <c r="I81" s="2">
        <f t="shared" si="16"/>
        <v>5.1261718750000001E-3</v>
      </c>
      <c r="J81" s="2">
        <f t="shared" si="17"/>
        <v>0.77057363926800571</v>
      </c>
      <c r="K81" s="1">
        <f t="shared" si="18"/>
        <v>2.7937500000000002</v>
      </c>
      <c r="L81" s="1">
        <f t="shared" si="19"/>
        <v>1.74609375E-3</v>
      </c>
      <c r="M81" s="1">
        <f t="shared" si="20"/>
        <v>0.26247536139053462</v>
      </c>
      <c r="N81" s="3">
        <f t="shared" si="21"/>
        <v>3.8318750000000001</v>
      </c>
      <c r="O81" s="3">
        <f t="shared" si="22"/>
        <v>2.3949218749999999E-3</v>
      </c>
      <c r="P81" s="3">
        <f t="shared" si="23"/>
        <v>0.36000815227860572</v>
      </c>
    </row>
    <row r="82" spans="1:16" x14ac:dyDescent="0.2">
      <c r="A82" s="4">
        <v>1620</v>
      </c>
      <c r="B82" s="4">
        <v>13493</v>
      </c>
      <c r="C82" s="4">
        <v>4653</v>
      </c>
      <c r="D82" s="4">
        <v>6292</v>
      </c>
      <c r="E82" s="4">
        <f t="shared" si="12"/>
        <v>1620</v>
      </c>
      <c r="F82" s="4">
        <f t="shared" si="13"/>
        <v>2624400</v>
      </c>
      <c r="G82" s="4">
        <f t="shared" si="14"/>
        <v>17272.08051839062</v>
      </c>
      <c r="H82" s="2">
        <f t="shared" si="15"/>
        <v>8.3290123456790131</v>
      </c>
      <c r="I82" s="2">
        <f t="shared" si="16"/>
        <v>5.141365645480872E-3</v>
      </c>
      <c r="J82" s="2">
        <f t="shared" si="17"/>
        <v>0.78120293531709706</v>
      </c>
      <c r="K82" s="1">
        <f t="shared" si="18"/>
        <v>2.8722222222222222</v>
      </c>
      <c r="L82" s="1">
        <f t="shared" si="19"/>
        <v>1.7729766803840877E-3</v>
      </c>
      <c r="M82" s="1">
        <f t="shared" si="20"/>
        <v>0.2693942976380681</v>
      </c>
      <c r="N82" s="3">
        <f t="shared" si="21"/>
        <v>3.8839506172839506</v>
      </c>
      <c r="O82" s="3">
        <f t="shared" si="22"/>
        <v>2.3975003810394759E-3</v>
      </c>
      <c r="P82" s="3">
        <f t="shared" si="23"/>
        <v>0.36428732446566181</v>
      </c>
    </row>
    <row r="83" spans="1:16" x14ac:dyDescent="0.2">
      <c r="A83" s="4">
        <v>1640</v>
      </c>
      <c r="B83" s="4">
        <v>13691</v>
      </c>
      <c r="C83" s="4">
        <v>4466</v>
      </c>
      <c r="D83" s="4">
        <v>6442</v>
      </c>
      <c r="E83" s="4">
        <f t="shared" si="12"/>
        <v>1640</v>
      </c>
      <c r="F83" s="4">
        <f t="shared" si="13"/>
        <v>2689600</v>
      </c>
      <c r="G83" s="4">
        <f t="shared" si="14"/>
        <v>17514.347363188932</v>
      </c>
      <c r="H83" s="2">
        <f t="shared" si="15"/>
        <v>8.3481707317073166</v>
      </c>
      <c r="I83" s="2">
        <f t="shared" si="16"/>
        <v>5.090348007138608E-3</v>
      </c>
      <c r="J83" s="2">
        <f t="shared" si="17"/>
        <v>0.78170197930271068</v>
      </c>
      <c r="K83" s="1">
        <f t="shared" si="18"/>
        <v>2.723170731707317</v>
      </c>
      <c r="L83" s="1">
        <f t="shared" si="19"/>
        <v>1.6604699583581202E-3</v>
      </c>
      <c r="M83" s="1">
        <f t="shared" si="20"/>
        <v>0.25499094584514687</v>
      </c>
      <c r="N83" s="3">
        <f t="shared" si="21"/>
        <v>3.928048780487805</v>
      </c>
      <c r="O83" s="3">
        <f t="shared" si="22"/>
        <v>2.3951516954193934E-3</v>
      </c>
      <c r="P83" s="3">
        <f t="shared" si="23"/>
        <v>0.36781273469199199</v>
      </c>
    </row>
    <row r="84" spans="1:16" x14ac:dyDescent="0.2">
      <c r="A84" s="4">
        <v>1660</v>
      </c>
      <c r="B84" s="4">
        <v>14084</v>
      </c>
      <c r="C84" s="4">
        <v>4634</v>
      </c>
      <c r="D84" s="4">
        <v>6608</v>
      </c>
      <c r="E84" s="4">
        <f t="shared" si="12"/>
        <v>1660</v>
      </c>
      <c r="F84" s="4">
        <f t="shared" si="13"/>
        <v>2755600</v>
      </c>
      <c r="G84" s="4">
        <f t="shared" si="14"/>
        <v>17756.966093548916</v>
      </c>
      <c r="H84" s="2">
        <f t="shared" si="15"/>
        <v>8.48433734939759</v>
      </c>
      <c r="I84" s="2">
        <f t="shared" si="16"/>
        <v>5.1110465960226446E-3</v>
      </c>
      <c r="J84" s="2">
        <f t="shared" si="17"/>
        <v>0.7931535108982779</v>
      </c>
      <c r="K84" s="1">
        <f t="shared" si="18"/>
        <v>2.7915662650602409</v>
      </c>
      <c r="L84" s="1">
        <f t="shared" si="19"/>
        <v>1.6816664247350848E-3</v>
      </c>
      <c r="M84" s="1">
        <f t="shared" si="20"/>
        <v>0.26096800408283299</v>
      </c>
      <c r="N84" s="3">
        <f t="shared" si="21"/>
        <v>3.9807228915662649</v>
      </c>
      <c r="O84" s="3">
        <f t="shared" si="22"/>
        <v>2.398025838292931E-3</v>
      </c>
      <c r="P84" s="3">
        <f t="shared" si="23"/>
        <v>0.37213564328428145</v>
      </c>
    </row>
    <row r="85" spans="1:16" x14ac:dyDescent="0.2">
      <c r="A85" s="4">
        <v>1680</v>
      </c>
      <c r="B85" s="4">
        <v>14516</v>
      </c>
      <c r="C85" s="4">
        <v>4888</v>
      </c>
      <c r="D85" s="4">
        <v>6760</v>
      </c>
      <c r="E85" s="4">
        <f t="shared" si="12"/>
        <v>1680</v>
      </c>
      <c r="F85" s="4">
        <f t="shared" si="13"/>
        <v>2822400</v>
      </c>
      <c r="G85" s="4">
        <f t="shared" si="14"/>
        <v>17999.932469679086</v>
      </c>
      <c r="H85" s="2">
        <f t="shared" si="15"/>
        <v>8.6404761904761909</v>
      </c>
      <c r="I85" s="2">
        <f t="shared" si="16"/>
        <v>5.1431405895691609E-3</v>
      </c>
      <c r="J85" s="2">
        <f t="shared" si="17"/>
        <v>0.80644746998091377</v>
      </c>
      <c r="K85" s="1">
        <f t="shared" si="18"/>
        <v>2.9095238095238094</v>
      </c>
      <c r="L85" s="1">
        <f t="shared" si="19"/>
        <v>1.7318594104308389E-3</v>
      </c>
      <c r="M85" s="1">
        <f t="shared" si="20"/>
        <v>0.27155657435014513</v>
      </c>
      <c r="N85" s="3">
        <f t="shared" si="21"/>
        <v>4.0238095238095237</v>
      </c>
      <c r="O85" s="3">
        <f t="shared" si="22"/>
        <v>2.3951247165532878E-3</v>
      </c>
      <c r="P85" s="3">
        <f t="shared" si="23"/>
        <v>0.37555696452679643</v>
      </c>
    </row>
    <row r="86" spans="1:16" x14ac:dyDescent="0.2">
      <c r="A86" s="4">
        <v>1700</v>
      </c>
      <c r="B86" s="4">
        <v>14674</v>
      </c>
      <c r="C86" s="4">
        <v>4893</v>
      </c>
      <c r="D86" s="4">
        <v>6931</v>
      </c>
      <c r="E86" s="4">
        <f t="shared" si="12"/>
        <v>1700</v>
      </c>
      <c r="F86" s="4">
        <f t="shared" si="13"/>
        <v>2890000</v>
      </c>
      <c r="G86" s="4">
        <f t="shared" si="14"/>
        <v>18243.242352742611</v>
      </c>
      <c r="H86" s="2">
        <f t="shared" si="15"/>
        <v>8.6317647058823521</v>
      </c>
      <c r="I86" s="2">
        <f t="shared" si="16"/>
        <v>5.0775086505190315E-3</v>
      </c>
      <c r="J86" s="2">
        <f t="shared" si="17"/>
        <v>0.80435263185515782</v>
      </c>
      <c r="K86" s="1">
        <f t="shared" si="18"/>
        <v>2.8782352941176472</v>
      </c>
      <c r="L86" s="1">
        <f t="shared" si="19"/>
        <v>1.6930795847750865E-3</v>
      </c>
      <c r="M86" s="1">
        <f t="shared" si="20"/>
        <v>0.26820890198087005</v>
      </c>
      <c r="N86" s="3">
        <f t="shared" si="21"/>
        <v>4.0770588235294118</v>
      </c>
      <c r="O86" s="3">
        <f t="shared" si="22"/>
        <v>2.3982698961937717E-3</v>
      </c>
      <c r="P86" s="3">
        <f t="shared" si="23"/>
        <v>0.37992150002644803</v>
      </c>
    </row>
    <row r="87" spans="1:16" x14ac:dyDescent="0.2">
      <c r="A87" s="4">
        <v>1720</v>
      </c>
      <c r="B87" s="4">
        <v>14909</v>
      </c>
      <c r="C87" s="4">
        <v>4882</v>
      </c>
      <c r="D87" s="4">
        <v>7086</v>
      </c>
      <c r="E87" s="4">
        <f t="shared" si="12"/>
        <v>1720</v>
      </c>
      <c r="F87" s="4">
        <f t="shared" si="13"/>
        <v>2958400</v>
      </c>
      <c r="G87" s="4">
        <f t="shared" si="14"/>
        <v>18486.891701293869</v>
      </c>
      <c r="H87" s="2">
        <f t="shared" si="15"/>
        <v>8.6680232558139529</v>
      </c>
      <c r="I87" s="2">
        <f t="shared" si="16"/>
        <v>5.0395484045429959E-3</v>
      </c>
      <c r="J87" s="2">
        <f t="shared" si="17"/>
        <v>0.80646331686773187</v>
      </c>
      <c r="K87" s="1">
        <f t="shared" si="18"/>
        <v>2.8383720930232559</v>
      </c>
      <c r="L87" s="1">
        <f t="shared" si="19"/>
        <v>1.6502163331530556E-3</v>
      </c>
      <c r="M87" s="1">
        <f t="shared" si="20"/>
        <v>0.2640790068380352</v>
      </c>
      <c r="N87" s="3">
        <f t="shared" si="21"/>
        <v>4.1197674418604651</v>
      </c>
      <c r="O87" s="3">
        <f t="shared" si="22"/>
        <v>2.3952136289886426E-3</v>
      </c>
      <c r="P87" s="3">
        <f t="shared" si="23"/>
        <v>0.3832986158243174</v>
      </c>
    </row>
    <row r="88" spans="1:16" x14ac:dyDescent="0.2">
      <c r="A88" s="4">
        <v>1740</v>
      </c>
      <c r="B88" s="4">
        <v>15178</v>
      </c>
      <c r="C88" s="4">
        <v>4854</v>
      </c>
      <c r="D88" s="4">
        <v>7256</v>
      </c>
      <c r="E88" s="4">
        <f t="shared" si="12"/>
        <v>1740</v>
      </c>
      <c r="F88" s="4">
        <f t="shared" si="13"/>
        <v>3027600</v>
      </c>
      <c r="G88" s="4">
        <f t="shared" si="14"/>
        <v>18730.876567880798</v>
      </c>
      <c r="H88" s="2">
        <f t="shared" si="15"/>
        <v>8.7229885057471268</v>
      </c>
      <c r="I88" s="2">
        <f t="shared" si="16"/>
        <v>5.0132117849121414E-3</v>
      </c>
      <c r="J88" s="2">
        <f t="shared" si="17"/>
        <v>0.81031979176173874</v>
      </c>
      <c r="K88" s="1">
        <f t="shared" si="18"/>
        <v>2.7896551724137932</v>
      </c>
      <c r="L88" s="1">
        <f t="shared" si="19"/>
        <v>1.6032500990883869E-3</v>
      </c>
      <c r="M88" s="1">
        <f t="shared" si="20"/>
        <v>0.25914430552190537</v>
      </c>
      <c r="N88" s="3">
        <f t="shared" si="21"/>
        <v>4.1701149425287358</v>
      </c>
      <c r="O88" s="3">
        <f t="shared" si="22"/>
        <v>2.3966177830624918E-3</v>
      </c>
      <c r="P88" s="3">
        <f t="shared" si="23"/>
        <v>0.38738176367262989</v>
      </c>
    </row>
    <row r="89" spans="1:16" x14ac:dyDescent="0.2">
      <c r="A89" s="4">
        <v>1760</v>
      </c>
      <c r="B89" s="4">
        <v>15856</v>
      </c>
      <c r="C89" s="4">
        <v>5255</v>
      </c>
      <c r="D89" s="4">
        <v>7413</v>
      </c>
      <c r="E89" s="4">
        <f t="shared" si="12"/>
        <v>1760</v>
      </c>
      <c r="F89" s="4">
        <f t="shared" si="13"/>
        <v>3097600</v>
      </c>
      <c r="G89" s="4">
        <f t="shared" si="14"/>
        <v>18975.193095803403</v>
      </c>
      <c r="H89" s="2">
        <f t="shared" si="15"/>
        <v>9.0090909090909097</v>
      </c>
      <c r="I89" s="2">
        <f t="shared" si="16"/>
        <v>5.1188016528925621E-3</v>
      </c>
      <c r="J89" s="2">
        <f t="shared" si="17"/>
        <v>0.83561731993687849</v>
      </c>
      <c r="K89" s="1">
        <f t="shared" si="18"/>
        <v>2.9857954545454546</v>
      </c>
      <c r="L89" s="1">
        <f t="shared" si="19"/>
        <v>1.6964746900826446E-3</v>
      </c>
      <c r="M89" s="1">
        <f t="shared" si="20"/>
        <v>0.27694052827120941</v>
      </c>
      <c r="N89" s="3">
        <f t="shared" si="21"/>
        <v>4.2119318181818182</v>
      </c>
      <c r="O89" s="3">
        <f t="shared" si="22"/>
        <v>2.3931430785123966E-3</v>
      </c>
      <c r="P89" s="3">
        <f t="shared" si="23"/>
        <v>0.39066796119400105</v>
      </c>
    </row>
    <row r="90" spans="1:16" x14ac:dyDescent="0.2">
      <c r="A90" s="4">
        <v>1780</v>
      </c>
      <c r="B90" s="4">
        <v>16150</v>
      </c>
      <c r="C90" s="4">
        <v>5298</v>
      </c>
      <c r="D90" s="4">
        <v>7590</v>
      </c>
      <c r="E90" s="4">
        <f t="shared" si="12"/>
        <v>1780</v>
      </c>
      <c r="F90" s="4">
        <f t="shared" si="13"/>
        <v>3168400</v>
      </c>
      <c r="G90" s="4">
        <f t="shared" si="14"/>
        <v>19219.837516019692</v>
      </c>
      <c r="H90" s="2">
        <f t="shared" si="15"/>
        <v>9.0730337078651679</v>
      </c>
      <c r="I90" s="2">
        <f t="shared" si="16"/>
        <v>5.0972099482388591E-3</v>
      </c>
      <c r="J90" s="2">
        <f t="shared" si="17"/>
        <v>0.84027765513308894</v>
      </c>
      <c r="K90" s="1">
        <f t="shared" si="18"/>
        <v>2.9764044943820225</v>
      </c>
      <c r="L90" s="1">
        <f t="shared" si="19"/>
        <v>1.6721373563943947E-3</v>
      </c>
      <c r="M90" s="1">
        <f t="shared" si="20"/>
        <v>0.27565269454458857</v>
      </c>
      <c r="N90" s="3">
        <f t="shared" si="21"/>
        <v>4.2640449438202248</v>
      </c>
      <c r="O90" s="3">
        <f t="shared" si="22"/>
        <v>2.3955308673147329E-3</v>
      </c>
      <c r="P90" s="3">
        <f t="shared" si="23"/>
        <v>0.39490448312446719</v>
      </c>
    </row>
    <row r="91" spans="1:16" x14ac:dyDescent="0.2">
      <c r="A91" s="4">
        <v>1800</v>
      </c>
      <c r="B91" s="4">
        <v>16434</v>
      </c>
      <c r="C91" s="4">
        <v>5416</v>
      </c>
      <c r="D91" s="4">
        <v>7759</v>
      </c>
      <c r="E91" s="4">
        <f t="shared" si="12"/>
        <v>1800</v>
      </c>
      <c r="F91" s="4">
        <f t="shared" si="13"/>
        <v>3240000</v>
      </c>
      <c r="G91" s="4">
        <f t="shared" si="14"/>
        <v>19464.806144190668</v>
      </c>
      <c r="H91" s="2">
        <f t="shared" si="15"/>
        <v>9.1300000000000008</v>
      </c>
      <c r="I91" s="2">
        <f t="shared" si="16"/>
        <v>5.0722222222222219E-3</v>
      </c>
      <c r="J91" s="2">
        <f t="shared" si="17"/>
        <v>0.84429302189093614</v>
      </c>
      <c r="K91" s="1">
        <f t="shared" si="18"/>
        <v>3.0088888888888889</v>
      </c>
      <c r="L91" s="1">
        <f t="shared" si="19"/>
        <v>1.6716049382716049E-3</v>
      </c>
      <c r="M91" s="1">
        <f t="shared" si="20"/>
        <v>0.2782457713618906</v>
      </c>
      <c r="N91" s="3">
        <f t="shared" si="21"/>
        <v>4.3105555555555553</v>
      </c>
      <c r="O91" s="3">
        <f t="shared" si="22"/>
        <v>2.3947530864197532E-3</v>
      </c>
      <c r="P91" s="3">
        <f t="shared" si="23"/>
        <v>0.39861686484433329</v>
      </c>
    </row>
    <row r="92" spans="1:16" x14ac:dyDescent="0.2">
      <c r="A92" s="4">
        <v>1820</v>
      </c>
      <c r="B92" s="4">
        <v>16911</v>
      </c>
      <c r="C92" s="4">
        <v>5623</v>
      </c>
      <c r="D92" s="4">
        <v>7925</v>
      </c>
      <c r="E92" s="4">
        <f t="shared" si="12"/>
        <v>1820</v>
      </c>
      <c r="F92" s="4">
        <f t="shared" si="13"/>
        <v>3312400</v>
      </c>
      <c r="G92" s="4">
        <f t="shared" si="14"/>
        <v>19710.095377856629</v>
      </c>
      <c r="H92" s="2">
        <f t="shared" si="15"/>
        <v>9.2917582417582416</v>
      </c>
      <c r="I92" s="2">
        <f t="shared" si="16"/>
        <v>5.105361671295737E-3</v>
      </c>
      <c r="J92" s="2">
        <f t="shared" si="17"/>
        <v>0.85798671573140728</v>
      </c>
      <c r="K92" s="1">
        <f t="shared" si="18"/>
        <v>3.0895604395604397</v>
      </c>
      <c r="L92" s="1">
        <f t="shared" si="19"/>
        <v>1.6975606810771646E-3</v>
      </c>
      <c r="M92" s="1">
        <f t="shared" si="20"/>
        <v>0.28528527600719666</v>
      </c>
      <c r="N92" s="3">
        <f t="shared" si="21"/>
        <v>4.354395604395604</v>
      </c>
      <c r="O92" s="3">
        <f t="shared" si="22"/>
        <v>2.392525057360222E-3</v>
      </c>
      <c r="P92" s="3">
        <f t="shared" si="23"/>
        <v>0.40207821667384558</v>
      </c>
    </row>
    <row r="93" spans="1:16" x14ac:dyDescent="0.2">
      <c r="A93" s="4">
        <v>1840</v>
      </c>
      <c r="B93" s="4">
        <v>17314</v>
      </c>
      <c r="C93" s="4">
        <v>5739</v>
      </c>
      <c r="D93" s="4">
        <v>8099</v>
      </c>
      <c r="E93" s="4">
        <f t="shared" si="12"/>
        <v>1840</v>
      </c>
      <c r="F93" s="4">
        <f t="shared" si="13"/>
        <v>3385600</v>
      </c>
      <c r="G93" s="4">
        <f t="shared" si="14"/>
        <v>19955.70169373765</v>
      </c>
      <c r="H93" s="2">
        <f t="shared" si="15"/>
        <v>9.409782608695652</v>
      </c>
      <c r="I93" s="2">
        <f t="shared" si="16"/>
        <v>5.1140122873345939E-3</v>
      </c>
      <c r="J93" s="2">
        <f t="shared" si="17"/>
        <v>0.86762170860838983</v>
      </c>
      <c r="K93" s="1">
        <f t="shared" si="18"/>
        <v>3.1190217391304347</v>
      </c>
      <c r="L93" s="1">
        <f t="shared" si="19"/>
        <v>1.6951205103969754E-3</v>
      </c>
      <c r="M93" s="1">
        <f t="shared" si="20"/>
        <v>0.28758698080764405</v>
      </c>
      <c r="N93" s="3">
        <f t="shared" si="21"/>
        <v>4.401630434782609</v>
      </c>
      <c r="O93" s="3">
        <f t="shared" si="22"/>
        <v>2.3921904536862004E-3</v>
      </c>
      <c r="P93" s="3">
        <f t="shared" si="23"/>
        <v>0.40584892098991276</v>
      </c>
    </row>
    <row r="94" spans="1:16" x14ac:dyDescent="0.2">
      <c r="A94" s="4">
        <v>1860</v>
      </c>
      <c r="B94" s="4">
        <v>17705</v>
      </c>
      <c r="C94" s="4">
        <v>5794</v>
      </c>
      <c r="D94" s="4">
        <v>8278</v>
      </c>
      <c r="E94" s="4">
        <f t="shared" si="12"/>
        <v>1860</v>
      </c>
      <c r="F94" s="4">
        <f t="shared" si="13"/>
        <v>3459600</v>
      </c>
      <c r="G94" s="4">
        <f t="shared" si="14"/>
        <v>20201.621645151434</v>
      </c>
      <c r="H94" s="2">
        <f t="shared" si="15"/>
        <v>9.5188172043010759</v>
      </c>
      <c r="I94" s="2">
        <f t="shared" si="16"/>
        <v>5.1176436582263847E-3</v>
      </c>
      <c r="J94" s="2">
        <f t="shared" si="17"/>
        <v>0.87641479040616299</v>
      </c>
      <c r="K94" s="1">
        <f t="shared" si="18"/>
        <v>3.1150537634408604</v>
      </c>
      <c r="L94" s="1">
        <f t="shared" si="19"/>
        <v>1.6747600878714301E-3</v>
      </c>
      <c r="M94" s="1">
        <f t="shared" si="20"/>
        <v>0.28680865832325947</v>
      </c>
      <c r="N94" s="3">
        <f t="shared" si="21"/>
        <v>4.4505376344086018</v>
      </c>
      <c r="O94" s="3">
        <f t="shared" si="22"/>
        <v>2.3927621690368827E-3</v>
      </c>
      <c r="P94" s="3">
        <f t="shared" si="23"/>
        <v>0.40976908415601343</v>
      </c>
    </row>
    <row r="95" spans="1:16" x14ac:dyDescent="0.2">
      <c r="A95" s="4">
        <v>1880</v>
      </c>
      <c r="B95" s="4">
        <v>18128</v>
      </c>
      <c r="C95" s="4">
        <v>5990</v>
      </c>
      <c r="D95" s="4">
        <v>8455</v>
      </c>
      <c r="E95" s="4">
        <f t="shared" si="12"/>
        <v>1880</v>
      </c>
      <c r="F95" s="4">
        <f t="shared" si="13"/>
        <v>3534400</v>
      </c>
      <c r="G95" s="4">
        <f t="shared" si="14"/>
        <v>20447.851859542203</v>
      </c>
      <c r="H95" s="2">
        <f t="shared" si="15"/>
        <v>9.6425531914893625</v>
      </c>
      <c r="I95" s="2">
        <f t="shared" si="16"/>
        <v>5.1290176550475332E-3</v>
      </c>
      <c r="J95" s="2">
        <f t="shared" si="17"/>
        <v>0.88654789385812083</v>
      </c>
      <c r="K95" s="1">
        <f t="shared" si="18"/>
        <v>3.1861702127659575</v>
      </c>
      <c r="L95" s="1">
        <f t="shared" si="19"/>
        <v>1.6947713897691263E-3</v>
      </c>
      <c r="M95" s="1">
        <f t="shared" si="20"/>
        <v>0.29294030694010059</v>
      </c>
      <c r="N95" s="3">
        <f t="shared" si="21"/>
        <v>4.4973404255319149</v>
      </c>
      <c r="O95" s="3">
        <f t="shared" si="22"/>
        <v>2.3922023540063377E-3</v>
      </c>
      <c r="P95" s="3">
        <f t="shared" si="23"/>
        <v>0.41349086730860612</v>
      </c>
    </row>
    <row r="96" spans="1:16" x14ac:dyDescent="0.2">
      <c r="A96" s="4">
        <v>1900</v>
      </c>
      <c r="B96" s="4">
        <v>18383</v>
      </c>
      <c r="C96" s="4">
        <v>6066</v>
      </c>
      <c r="D96" s="4">
        <v>8632</v>
      </c>
      <c r="E96" s="4">
        <f t="shared" si="12"/>
        <v>1900</v>
      </c>
      <c r="F96" s="4">
        <f t="shared" si="13"/>
        <v>3610000</v>
      </c>
      <c r="G96" s="4">
        <f t="shared" si="14"/>
        <v>20694.38903611479</v>
      </c>
      <c r="H96" s="2">
        <f t="shared" si="15"/>
        <v>9.6752631578947366</v>
      </c>
      <c r="I96" s="2">
        <f t="shared" si="16"/>
        <v>5.0922437673130193E-3</v>
      </c>
      <c r="J96" s="2">
        <f t="shared" si="17"/>
        <v>0.88830841866937593</v>
      </c>
      <c r="K96" s="1">
        <f t="shared" si="18"/>
        <v>3.1926315789473683</v>
      </c>
      <c r="L96" s="1">
        <f t="shared" si="19"/>
        <v>1.6803324099722993E-3</v>
      </c>
      <c r="M96" s="1">
        <f t="shared" si="20"/>
        <v>0.29312293247285182</v>
      </c>
      <c r="N96" s="3">
        <f t="shared" si="21"/>
        <v>4.5431578947368418</v>
      </c>
      <c r="O96" s="3">
        <f t="shared" si="22"/>
        <v>2.3911357340720223E-3</v>
      </c>
      <c r="P96" s="3">
        <f t="shared" si="23"/>
        <v>0.41711789533558469</v>
      </c>
    </row>
    <row r="97" spans="1:16" x14ac:dyDescent="0.2">
      <c r="A97" s="4">
        <v>1920</v>
      </c>
      <c r="B97" s="4">
        <v>18833</v>
      </c>
      <c r="C97" s="4">
        <v>6210</v>
      </c>
      <c r="D97" s="4">
        <v>8812</v>
      </c>
      <c r="E97" s="4">
        <f t="shared" si="12"/>
        <v>1920</v>
      </c>
      <c r="F97" s="4">
        <f t="shared" si="13"/>
        <v>3686400</v>
      </c>
      <c r="G97" s="4">
        <f t="shared" si="14"/>
        <v>20941.229943568356</v>
      </c>
      <c r="H97" s="2">
        <f t="shared" si="15"/>
        <v>9.8088541666666664</v>
      </c>
      <c r="I97" s="2">
        <f t="shared" si="16"/>
        <v>5.1087782118055553E-3</v>
      </c>
      <c r="J97" s="2">
        <f t="shared" si="17"/>
        <v>0.89932635526902982</v>
      </c>
      <c r="K97" s="1">
        <f t="shared" si="18"/>
        <v>3.234375</v>
      </c>
      <c r="L97" s="1">
        <f t="shared" si="19"/>
        <v>1.6845703125000001E-3</v>
      </c>
      <c r="M97" s="1">
        <f t="shared" si="20"/>
        <v>0.29654418659909071</v>
      </c>
      <c r="N97" s="3">
        <f t="shared" si="21"/>
        <v>4.5895833333333336</v>
      </c>
      <c r="O97" s="3">
        <f t="shared" si="22"/>
        <v>2.3904079861111109E-3</v>
      </c>
      <c r="P97" s="3">
        <f t="shared" si="23"/>
        <v>0.42079667831098022</v>
      </c>
    </row>
    <row r="98" spans="1:16" x14ac:dyDescent="0.2">
      <c r="A98" s="4">
        <v>1940</v>
      </c>
      <c r="B98" s="4">
        <v>19405</v>
      </c>
      <c r="C98" s="4">
        <v>6313</v>
      </c>
      <c r="D98" s="4">
        <v>8997</v>
      </c>
      <c r="E98" s="4">
        <f t="shared" si="12"/>
        <v>1940</v>
      </c>
      <c r="F98" s="4">
        <f t="shared" si="13"/>
        <v>3763600</v>
      </c>
      <c r="G98" s="4">
        <f t="shared" si="14"/>
        <v>21188.371417924511</v>
      </c>
      <c r="H98" s="2">
        <f t="shared" si="15"/>
        <v>10.00257731958763</v>
      </c>
      <c r="I98" s="2">
        <f t="shared" si="16"/>
        <v>5.1559676905090874E-3</v>
      </c>
      <c r="J98" s="2">
        <f t="shared" si="17"/>
        <v>0.9158325393325959</v>
      </c>
      <c r="K98" s="1">
        <f t="shared" si="18"/>
        <v>3.2541237113402062</v>
      </c>
      <c r="L98" s="1">
        <f t="shared" si="19"/>
        <v>1.677383356360931E-3</v>
      </c>
      <c r="M98" s="1">
        <f t="shared" si="20"/>
        <v>0.29794644786429669</v>
      </c>
      <c r="N98" s="3">
        <f t="shared" si="21"/>
        <v>4.6376288659793818</v>
      </c>
      <c r="O98" s="3">
        <f t="shared" si="22"/>
        <v>2.390530343288341E-3</v>
      </c>
      <c r="P98" s="3">
        <f t="shared" si="23"/>
        <v>0.42461970401315974</v>
      </c>
    </row>
    <row r="99" spans="1:16" x14ac:dyDescent="0.2">
      <c r="A99" s="4">
        <v>1960</v>
      </c>
      <c r="B99" s="4">
        <v>19714</v>
      </c>
      <c r="C99" s="4">
        <v>6478</v>
      </c>
      <c r="D99" s="4">
        <v>9191</v>
      </c>
      <c r="E99" s="4">
        <f t="shared" si="12"/>
        <v>1960</v>
      </c>
      <c r="F99" s="4">
        <f t="shared" si="13"/>
        <v>3841600</v>
      </c>
      <c r="G99" s="4">
        <f t="shared" si="14"/>
        <v>21435.810360445041</v>
      </c>
      <c r="H99" s="2">
        <f t="shared" si="15"/>
        <v>10.058163265306122</v>
      </c>
      <c r="I99" s="2">
        <f t="shared" si="16"/>
        <v>5.1317159516867973E-3</v>
      </c>
      <c r="J99" s="2">
        <f t="shared" si="17"/>
        <v>0.91967598464939526</v>
      </c>
      <c r="K99" s="1">
        <f t="shared" si="18"/>
        <v>3.3051020408163265</v>
      </c>
      <c r="L99" s="1">
        <f t="shared" si="19"/>
        <v>1.6862765514369014E-3</v>
      </c>
      <c r="M99" s="1">
        <f t="shared" si="20"/>
        <v>0.30220457687728425</v>
      </c>
      <c r="N99" s="3">
        <f t="shared" si="21"/>
        <v>4.6892857142857141</v>
      </c>
      <c r="O99" s="3">
        <f t="shared" si="22"/>
        <v>2.3924927113702626E-3</v>
      </c>
      <c r="P99" s="3">
        <f t="shared" si="23"/>
        <v>0.42876848812582891</v>
      </c>
    </row>
    <row r="100" spans="1:16" x14ac:dyDescent="0.2">
      <c r="A100" s="4">
        <v>1980</v>
      </c>
      <c r="B100" s="4">
        <v>20181</v>
      </c>
      <c r="C100" s="4">
        <v>6626</v>
      </c>
      <c r="D100" s="4">
        <v>9411</v>
      </c>
      <c r="E100" s="4">
        <f t="shared" si="12"/>
        <v>1980</v>
      </c>
      <c r="F100" s="4">
        <f t="shared" si="13"/>
        <v>3920400</v>
      </c>
      <c r="G100" s="4">
        <f t="shared" si="14"/>
        <v>21683.543735634605</v>
      </c>
      <c r="H100" s="2">
        <f t="shared" si="15"/>
        <v>10.192424242424243</v>
      </c>
      <c r="I100" s="2">
        <f t="shared" si="16"/>
        <v>5.1476890113253751E-3</v>
      </c>
      <c r="J100" s="2">
        <f t="shared" si="17"/>
        <v>0.93070580372131084</v>
      </c>
      <c r="K100" s="1">
        <f t="shared" si="18"/>
        <v>3.3464646464646464</v>
      </c>
      <c r="L100" s="1">
        <f t="shared" si="19"/>
        <v>1.6901336598306295E-3</v>
      </c>
      <c r="M100" s="1">
        <f t="shared" si="20"/>
        <v>0.30557735768581368</v>
      </c>
      <c r="N100" s="3">
        <f t="shared" si="21"/>
        <v>4.7530303030303029</v>
      </c>
      <c r="O100" s="3">
        <f t="shared" si="22"/>
        <v>2.4005203550658098E-3</v>
      </c>
      <c r="P100" s="3">
        <f t="shared" si="23"/>
        <v>0.43401577319366019</v>
      </c>
    </row>
    <row r="101" spans="1:16" x14ac:dyDescent="0.2">
      <c r="A101" s="4">
        <v>2000</v>
      </c>
      <c r="B101" s="4">
        <v>20519</v>
      </c>
      <c r="C101" s="4">
        <v>6765</v>
      </c>
      <c r="D101" s="4">
        <v>9561</v>
      </c>
      <c r="E101" s="4">
        <f t="shared" si="12"/>
        <v>2000</v>
      </c>
      <c r="F101" s="4">
        <f t="shared" si="13"/>
        <v>4000000</v>
      </c>
      <c r="G101" s="4">
        <f t="shared" si="14"/>
        <v>21931.568569324176</v>
      </c>
      <c r="H101" s="2">
        <f t="shared" si="15"/>
        <v>10.259499999999999</v>
      </c>
      <c r="I101" s="2">
        <f t="shared" si="16"/>
        <v>5.1297499999999998E-3</v>
      </c>
      <c r="J101" s="2">
        <f t="shared" si="17"/>
        <v>0.93559199539881777</v>
      </c>
      <c r="K101" s="1">
        <f t="shared" si="18"/>
        <v>3.3824999999999998</v>
      </c>
      <c r="L101" s="1">
        <f t="shared" si="19"/>
        <v>1.69125E-3</v>
      </c>
      <c r="M101" s="1">
        <f t="shared" si="20"/>
        <v>0.30845946921745709</v>
      </c>
      <c r="N101" s="3">
        <f t="shared" si="21"/>
        <v>4.7805</v>
      </c>
      <c r="O101" s="3">
        <f t="shared" si="22"/>
        <v>2.39025E-3</v>
      </c>
      <c r="P101" s="3">
        <f t="shared" si="23"/>
        <v>0.43594693055256573</v>
      </c>
    </row>
    <row r="102" spans="1:16" x14ac:dyDescent="0.2">
      <c r="A102" s="4">
        <v>2020</v>
      </c>
      <c r="B102" s="4">
        <v>20793</v>
      </c>
      <c r="C102" s="4">
        <v>6719</v>
      </c>
      <c r="D102" s="4">
        <v>9754</v>
      </c>
      <c r="E102" s="4">
        <f t="shared" si="12"/>
        <v>2020</v>
      </c>
      <c r="F102" s="4">
        <f t="shared" si="13"/>
        <v>4080400</v>
      </c>
      <c r="G102" s="4">
        <f t="shared" si="14"/>
        <v>22179.881946831098</v>
      </c>
      <c r="H102" s="2">
        <f t="shared" si="15"/>
        <v>10.293564356435644</v>
      </c>
      <c r="I102" s="2">
        <f t="shared" si="16"/>
        <v>5.0958239388295265E-3</v>
      </c>
      <c r="J102" s="2">
        <f t="shared" si="17"/>
        <v>0.93747117544828751</v>
      </c>
      <c r="K102" s="1">
        <f t="shared" si="18"/>
        <v>3.3262376237623763</v>
      </c>
      <c r="L102" s="1">
        <f t="shared" si="19"/>
        <v>1.6466522889912753E-3</v>
      </c>
      <c r="M102" s="1">
        <f t="shared" si="20"/>
        <v>0.30293218043750508</v>
      </c>
      <c r="N102" s="3">
        <f t="shared" si="21"/>
        <v>4.828712871287129</v>
      </c>
      <c r="O102" s="3">
        <f t="shared" si="22"/>
        <v>2.3904519164787766E-3</v>
      </c>
      <c r="P102" s="3">
        <f t="shared" si="23"/>
        <v>0.43976789522063175</v>
      </c>
    </row>
    <row r="103" spans="1:16" x14ac:dyDescent="0.2">
      <c r="A103" s="4">
        <v>2040</v>
      </c>
      <c r="B103" s="4">
        <v>21332</v>
      </c>
      <c r="C103" s="4">
        <v>6941</v>
      </c>
      <c r="D103" s="4">
        <v>9949</v>
      </c>
      <c r="E103" s="4">
        <f t="shared" si="12"/>
        <v>2040</v>
      </c>
      <c r="F103" s="4">
        <f t="shared" si="13"/>
        <v>4161600</v>
      </c>
      <c r="G103" s="4">
        <f t="shared" si="14"/>
        <v>22428.481011192071</v>
      </c>
      <c r="H103" s="2">
        <f t="shared" si="15"/>
        <v>10.456862745098039</v>
      </c>
      <c r="I103" s="2">
        <f t="shared" si="16"/>
        <v>5.1259131103421757E-3</v>
      </c>
      <c r="J103" s="2">
        <f t="shared" si="17"/>
        <v>0.95111211451881583</v>
      </c>
      <c r="K103" s="1">
        <f t="shared" si="18"/>
        <v>3.4024509803921568</v>
      </c>
      <c r="L103" s="1">
        <f t="shared" si="19"/>
        <v>1.6678681276432142E-3</v>
      </c>
      <c r="M103" s="1">
        <f t="shared" si="20"/>
        <v>0.30947258517134357</v>
      </c>
      <c r="N103" s="3">
        <f t="shared" si="21"/>
        <v>4.8769607843137255</v>
      </c>
      <c r="O103" s="3">
        <f t="shared" si="22"/>
        <v>2.3906670511341793E-3</v>
      </c>
      <c r="P103" s="3">
        <f t="shared" si="23"/>
        <v>0.44358777551789325</v>
      </c>
    </row>
    <row r="104" spans="1:16" x14ac:dyDescent="0.2">
      <c r="A104" s="4">
        <v>2060</v>
      </c>
      <c r="B104" s="4">
        <v>21906</v>
      </c>
      <c r="C104" s="4">
        <v>7238</v>
      </c>
      <c r="D104" s="4">
        <v>10139</v>
      </c>
      <c r="E104" s="4">
        <f t="shared" si="12"/>
        <v>2060</v>
      </c>
      <c r="F104" s="4">
        <f t="shared" si="13"/>
        <v>4243600</v>
      </c>
      <c r="G104" s="4">
        <f t="shared" si="14"/>
        <v>22677.362961465398</v>
      </c>
      <c r="H104" s="2">
        <f t="shared" si="15"/>
        <v>10.633980582524272</v>
      </c>
      <c r="I104" s="2">
        <f t="shared" si="16"/>
        <v>5.1621264963710055E-3</v>
      </c>
      <c r="J104" s="2">
        <f t="shared" si="17"/>
        <v>0.96598533247555551</v>
      </c>
      <c r="K104" s="1">
        <f t="shared" si="18"/>
        <v>3.5135922330097089</v>
      </c>
      <c r="L104" s="1">
        <f t="shared" si="19"/>
        <v>1.7056272975775285E-3</v>
      </c>
      <c r="M104" s="1">
        <f t="shared" si="20"/>
        <v>0.31917291319538349</v>
      </c>
      <c r="N104" s="3">
        <f t="shared" si="21"/>
        <v>4.921844660194175</v>
      </c>
      <c r="O104" s="3">
        <f t="shared" si="22"/>
        <v>2.3892449806767837E-3</v>
      </c>
      <c r="P104" s="3">
        <f t="shared" si="23"/>
        <v>0.44709784013373766</v>
      </c>
    </row>
    <row r="105" spans="1:16" x14ac:dyDescent="0.2">
      <c r="A105" s="4">
        <v>2080</v>
      </c>
      <c r="B105" s="4">
        <v>22209</v>
      </c>
      <c r="C105" s="4">
        <v>7361</v>
      </c>
      <c r="D105" s="4">
        <v>10336</v>
      </c>
      <c r="E105" s="4">
        <f t="shared" si="12"/>
        <v>2080</v>
      </c>
      <c r="F105" s="4">
        <f t="shared" si="13"/>
        <v>4326400</v>
      </c>
      <c r="G105" s="4">
        <f t="shared" si="14"/>
        <v>22926.525051099186</v>
      </c>
      <c r="H105" s="2">
        <f t="shared" si="15"/>
        <v>10.677403846153846</v>
      </c>
      <c r="I105" s="2">
        <f t="shared" si="16"/>
        <v>5.1333672337278103E-3</v>
      </c>
      <c r="J105" s="2">
        <f t="shared" si="17"/>
        <v>0.96870327930203337</v>
      </c>
      <c r="K105" s="1">
        <f t="shared" si="18"/>
        <v>3.5389423076923077</v>
      </c>
      <c r="L105" s="1">
        <f t="shared" si="19"/>
        <v>1.7014145710059171E-3</v>
      </c>
      <c r="M105" s="1">
        <f t="shared" si="20"/>
        <v>0.32106915389897195</v>
      </c>
      <c r="N105" s="3">
        <f t="shared" si="21"/>
        <v>4.9692307692307693</v>
      </c>
      <c r="O105" s="3">
        <f t="shared" si="22"/>
        <v>2.38905325443787E-3</v>
      </c>
      <c r="P105" s="3">
        <f t="shared" si="23"/>
        <v>0.45083151401980354</v>
      </c>
    </row>
    <row r="106" spans="1:16" x14ac:dyDescent="0.2">
      <c r="A106" s="4">
        <v>2100</v>
      </c>
      <c r="B106" s="4">
        <v>22745</v>
      </c>
      <c r="C106" s="4">
        <v>7510</v>
      </c>
      <c r="D106" s="4">
        <v>10536</v>
      </c>
      <c r="E106" s="4">
        <f t="shared" si="12"/>
        <v>2100</v>
      </c>
      <c r="F106" s="4">
        <f t="shared" si="13"/>
        <v>4410000</v>
      </c>
      <c r="G106" s="4">
        <f t="shared" si="14"/>
        <v>23175.964586362319</v>
      </c>
      <c r="H106" s="2">
        <f t="shared" si="15"/>
        <v>10.830952380952381</v>
      </c>
      <c r="I106" s="2">
        <f t="shared" si="16"/>
        <v>5.1575963718820863E-3</v>
      </c>
      <c r="J106" s="2">
        <f t="shared" si="17"/>
        <v>0.98140467531539477</v>
      </c>
      <c r="K106" s="1">
        <f t="shared" si="18"/>
        <v>3.5761904761904764</v>
      </c>
      <c r="L106" s="1">
        <f t="shared" si="19"/>
        <v>1.7029478458049886E-3</v>
      </c>
      <c r="M106" s="1">
        <f t="shared" si="20"/>
        <v>0.32404260767723081</v>
      </c>
      <c r="N106" s="3">
        <f t="shared" si="21"/>
        <v>5.0171428571428569</v>
      </c>
      <c r="O106" s="3">
        <f t="shared" si="22"/>
        <v>2.3891156462585036E-3</v>
      </c>
      <c r="P106" s="3">
        <f t="shared" si="23"/>
        <v>0.45460891005157178</v>
      </c>
    </row>
    <row r="107" spans="1:16" x14ac:dyDescent="0.2">
      <c r="A107" s="4">
        <v>2120</v>
      </c>
      <c r="B107" s="4">
        <v>22770</v>
      </c>
      <c r="C107" s="4">
        <v>7391</v>
      </c>
      <c r="D107" s="4">
        <v>10738</v>
      </c>
      <c r="E107" s="4">
        <f t="shared" si="12"/>
        <v>2120</v>
      </c>
      <c r="F107" s="4">
        <f t="shared" si="13"/>
        <v>4494400</v>
      </c>
      <c r="G107" s="4">
        <f t="shared" si="14"/>
        <v>23425.678924835192</v>
      </c>
      <c r="H107" s="2">
        <f t="shared" si="15"/>
        <v>10.740566037735849</v>
      </c>
      <c r="I107" s="2">
        <f t="shared" si="16"/>
        <v>5.0663047347810613E-3</v>
      </c>
      <c r="J107" s="2">
        <f t="shared" si="17"/>
        <v>0.97201024879837905</v>
      </c>
      <c r="K107" s="1">
        <f t="shared" si="18"/>
        <v>3.486320754716981</v>
      </c>
      <c r="L107" s="1">
        <f t="shared" si="19"/>
        <v>1.6444909220363119E-3</v>
      </c>
      <c r="M107" s="1">
        <f t="shared" si="20"/>
        <v>0.31550846503596047</v>
      </c>
      <c r="N107" s="3">
        <f t="shared" si="21"/>
        <v>5.0650943396226413</v>
      </c>
      <c r="O107" s="3">
        <f t="shared" si="22"/>
        <v>2.3891954432182271E-3</v>
      </c>
      <c r="P107" s="3">
        <f t="shared" si="23"/>
        <v>0.45838586085186622</v>
      </c>
    </row>
    <row r="108" spans="1:16" x14ac:dyDescent="0.2">
      <c r="A108" s="4">
        <v>2140</v>
      </c>
      <c r="B108" s="4">
        <v>23727</v>
      </c>
      <c r="C108" s="4">
        <v>7892</v>
      </c>
      <c r="D108" s="4">
        <v>10939</v>
      </c>
      <c r="E108" s="4">
        <f t="shared" si="12"/>
        <v>2140</v>
      </c>
      <c r="F108" s="4">
        <f t="shared" si="13"/>
        <v>4579600</v>
      </c>
      <c r="G108" s="4">
        <f t="shared" si="14"/>
        <v>23675.665473957411</v>
      </c>
      <c r="H108" s="2">
        <f t="shared" si="15"/>
        <v>11.087383177570093</v>
      </c>
      <c r="I108" s="2">
        <f t="shared" si="16"/>
        <v>5.1810201764346227E-3</v>
      </c>
      <c r="J108" s="2">
        <f t="shared" si="17"/>
        <v>1.0021682400479537</v>
      </c>
      <c r="K108" s="1">
        <f t="shared" si="18"/>
        <v>3.6878504672897194</v>
      </c>
      <c r="L108" s="1">
        <f t="shared" si="19"/>
        <v>1.7232946108830466E-3</v>
      </c>
      <c r="M108" s="1">
        <f t="shared" si="20"/>
        <v>0.33333804317690607</v>
      </c>
      <c r="N108" s="3">
        <f t="shared" si="21"/>
        <v>5.1116822429906543</v>
      </c>
      <c r="O108" s="3">
        <f t="shared" si="22"/>
        <v>2.3886365621451655E-3</v>
      </c>
      <c r="P108" s="3">
        <f t="shared" si="23"/>
        <v>0.46203558721644394</v>
      </c>
    </row>
    <row r="109" spans="1:16" x14ac:dyDescent="0.2">
      <c r="A109" s="4">
        <v>2160</v>
      </c>
      <c r="B109" s="4">
        <v>24074</v>
      </c>
      <c r="C109" s="4">
        <v>7747</v>
      </c>
      <c r="D109" s="4">
        <v>11136</v>
      </c>
      <c r="E109" s="4">
        <f t="shared" si="12"/>
        <v>2160</v>
      </c>
      <c r="F109" s="4">
        <f t="shared" si="13"/>
        <v>4665600</v>
      </c>
      <c r="G109" s="4">
        <f t="shared" si="14"/>
        <v>23925.921689629791</v>
      </c>
      <c r="H109" s="2">
        <f t="shared" si="15"/>
        <v>11.145370370370371</v>
      </c>
      <c r="I109" s="2">
        <f t="shared" si="16"/>
        <v>5.159893689986283E-3</v>
      </c>
      <c r="J109" s="2">
        <f t="shared" si="17"/>
        <v>1.0061890326438037</v>
      </c>
      <c r="K109" s="1">
        <f t="shared" si="18"/>
        <v>3.5865740740740741</v>
      </c>
      <c r="L109" s="1">
        <f t="shared" si="19"/>
        <v>1.6604509602194787E-3</v>
      </c>
      <c r="M109" s="1">
        <f t="shared" si="20"/>
        <v>0.32379107900189197</v>
      </c>
      <c r="N109" s="3">
        <f t="shared" si="21"/>
        <v>5.1555555555555559</v>
      </c>
      <c r="O109" s="3">
        <f t="shared" si="22"/>
        <v>2.3868312757201644E-3</v>
      </c>
      <c r="P109" s="3">
        <f t="shared" si="23"/>
        <v>0.46543661491739624</v>
      </c>
    </row>
    <row r="110" spans="1:16" x14ac:dyDescent="0.2">
      <c r="A110" s="4">
        <v>2180</v>
      </c>
      <c r="B110" s="4">
        <v>24561</v>
      </c>
      <c r="C110" s="4">
        <v>8117</v>
      </c>
      <c r="D110" s="4">
        <v>11357</v>
      </c>
      <c r="E110" s="4">
        <f t="shared" si="12"/>
        <v>2180</v>
      </c>
      <c r="F110" s="4">
        <f t="shared" si="13"/>
        <v>4752400</v>
      </c>
      <c r="G110" s="4">
        <f t="shared" si="14"/>
        <v>24176.445074868148</v>
      </c>
      <c r="H110" s="2">
        <f t="shared" si="15"/>
        <v>11.266513761467889</v>
      </c>
      <c r="I110" s="2">
        <f t="shared" si="16"/>
        <v>5.1681255786549954E-3</v>
      </c>
      <c r="J110" s="2">
        <f t="shared" si="17"/>
        <v>1.0159061815722281</v>
      </c>
      <c r="K110" s="1">
        <f t="shared" si="18"/>
        <v>3.723394495412844</v>
      </c>
      <c r="L110" s="1">
        <f t="shared" si="19"/>
        <v>1.7079791263361669E-3</v>
      </c>
      <c r="M110" s="1">
        <f t="shared" si="20"/>
        <v>0.33574001367296835</v>
      </c>
      <c r="N110" s="3">
        <f t="shared" si="21"/>
        <v>5.2096330275229361</v>
      </c>
      <c r="O110" s="3">
        <f t="shared" si="22"/>
        <v>2.3897399208820808E-3</v>
      </c>
      <c r="P110" s="3">
        <f t="shared" si="23"/>
        <v>0.46975475363852426</v>
      </c>
    </row>
    <row r="111" spans="1:16" x14ac:dyDescent="0.2">
      <c r="A111" s="4">
        <v>2200</v>
      </c>
      <c r="B111" s="4">
        <v>24771</v>
      </c>
      <c r="C111" s="4">
        <v>8008</v>
      </c>
      <c r="D111" s="4">
        <v>11556</v>
      </c>
      <c r="E111" s="4">
        <f t="shared" si="12"/>
        <v>2200</v>
      </c>
      <c r="F111" s="4">
        <f t="shared" si="13"/>
        <v>4840000</v>
      </c>
      <c r="G111" s="4">
        <f t="shared" si="14"/>
        <v>24427.233178506449</v>
      </c>
      <c r="H111" s="2">
        <f t="shared" si="15"/>
        <v>11.259545454545455</v>
      </c>
      <c r="I111" s="2">
        <f t="shared" si="16"/>
        <v>5.1179752066115702E-3</v>
      </c>
      <c r="J111" s="2">
        <f t="shared" si="17"/>
        <v>1.0140730969807925</v>
      </c>
      <c r="K111" s="1">
        <f t="shared" si="18"/>
        <v>3.64</v>
      </c>
      <c r="L111" s="1">
        <f t="shared" si="19"/>
        <v>1.6545454545454545E-3</v>
      </c>
      <c r="M111" s="1">
        <f t="shared" si="20"/>
        <v>0.32783082477987102</v>
      </c>
      <c r="N111" s="3">
        <f t="shared" si="21"/>
        <v>5.2527272727272729</v>
      </c>
      <c r="O111" s="3">
        <f t="shared" si="22"/>
        <v>2.3876033057851241E-3</v>
      </c>
      <c r="P111" s="3">
        <f t="shared" si="23"/>
        <v>0.47307854784667702</v>
      </c>
    </row>
    <row r="112" spans="1:16" x14ac:dyDescent="0.2">
      <c r="A112" s="4">
        <v>2220</v>
      </c>
      <c r="B112" s="4">
        <v>25523</v>
      </c>
      <c r="C112" s="4">
        <v>8360</v>
      </c>
      <c r="D112" s="4">
        <v>11783</v>
      </c>
      <c r="E112" s="4">
        <f t="shared" si="12"/>
        <v>2220</v>
      </c>
      <c r="F112" s="4">
        <f t="shared" si="13"/>
        <v>4928400</v>
      </c>
      <c r="G112" s="4">
        <f t="shared" si="14"/>
        <v>24678.283593947181</v>
      </c>
      <c r="H112" s="2">
        <f t="shared" si="15"/>
        <v>11.496846846846847</v>
      </c>
      <c r="I112" s="2">
        <f t="shared" si="16"/>
        <v>5.1787598409220028E-3</v>
      </c>
      <c r="J112" s="2">
        <f t="shared" si="17"/>
        <v>1.0342291392688268</v>
      </c>
      <c r="K112" s="1">
        <f t="shared" si="18"/>
        <v>3.7657657657657659</v>
      </c>
      <c r="L112" s="1">
        <f t="shared" si="19"/>
        <v>1.6962908854800747E-3</v>
      </c>
      <c r="M112" s="1">
        <f t="shared" si="20"/>
        <v>0.33875937798406891</v>
      </c>
      <c r="N112" s="3">
        <f t="shared" si="21"/>
        <v>5.307657657657658</v>
      </c>
      <c r="O112" s="3">
        <f t="shared" si="22"/>
        <v>2.3908367827286748E-3</v>
      </c>
      <c r="P112" s="3">
        <f t="shared" si="23"/>
        <v>0.47746432425673258</v>
      </c>
    </row>
    <row r="113" spans="1:16" x14ac:dyDescent="0.2">
      <c r="A113" s="4">
        <v>2240</v>
      </c>
      <c r="B113" s="4">
        <v>25830</v>
      </c>
      <c r="C113" s="4">
        <v>8424</v>
      </c>
      <c r="D113" s="4">
        <v>11971</v>
      </c>
      <c r="E113" s="4">
        <f t="shared" si="12"/>
        <v>2240</v>
      </c>
      <c r="F113" s="4">
        <f t="shared" si="13"/>
        <v>5017600</v>
      </c>
      <c r="G113" s="4">
        <f t="shared" si="14"/>
        <v>24929.593957956728</v>
      </c>
      <c r="H113" s="2">
        <f t="shared" si="15"/>
        <v>11.53125</v>
      </c>
      <c r="I113" s="2">
        <f t="shared" si="16"/>
        <v>5.1478794642857142E-3</v>
      </c>
      <c r="J113" s="2">
        <f t="shared" si="17"/>
        <v>1.0361179585821489</v>
      </c>
      <c r="K113" s="1">
        <f t="shared" si="18"/>
        <v>3.7607142857142857</v>
      </c>
      <c r="L113" s="1">
        <f t="shared" si="19"/>
        <v>1.6788903061224489E-3</v>
      </c>
      <c r="M113" s="1">
        <f t="shared" si="20"/>
        <v>0.33791164084769737</v>
      </c>
      <c r="N113" s="3">
        <f t="shared" si="21"/>
        <v>5.3441964285714283</v>
      </c>
      <c r="O113" s="3">
        <f t="shared" si="22"/>
        <v>2.3858019770408162E-3</v>
      </c>
      <c r="P113" s="3">
        <f t="shared" si="23"/>
        <v>0.48019233767661268</v>
      </c>
    </row>
    <row r="114" spans="1:16" x14ac:dyDescent="0.2">
      <c r="A114" s="4">
        <v>2260</v>
      </c>
      <c r="B114" s="4">
        <v>26478</v>
      </c>
      <c r="C114" s="4">
        <v>8644</v>
      </c>
      <c r="D114" s="4">
        <v>12186</v>
      </c>
      <c r="E114" s="4">
        <f t="shared" si="12"/>
        <v>2260</v>
      </c>
      <c r="F114" s="4">
        <f t="shared" si="13"/>
        <v>5107600</v>
      </c>
      <c r="G114" s="4">
        <f t="shared" si="14"/>
        <v>25181.161949503763</v>
      </c>
      <c r="H114" s="2">
        <f t="shared" si="15"/>
        <v>11.715929203539822</v>
      </c>
      <c r="I114" s="2">
        <f t="shared" si="16"/>
        <v>5.1840394705928421E-3</v>
      </c>
      <c r="J114" s="2">
        <f t="shared" si="17"/>
        <v>1.0515003260412212</v>
      </c>
      <c r="K114" s="1">
        <f t="shared" si="18"/>
        <v>3.824778761061947</v>
      </c>
      <c r="L114" s="1">
        <f t="shared" si="19"/>
        <v>1.6923799827707729E-3</v>
      </c>
      <c r="M114" s="1">
        <f t="shared" si="20"/>
        <v>0.3432724835070744</v>
      </c>
      <c r="N114" s="3">
        <f t="shared" si="21"/>
        <v>5.3920353982300888</v>
      </c>
      <c r="O114" s="3">
        <f t="shared" si="22"/>
        <v>2.3858563708982691E-3</v>
      </c>
      <c r="P114" s="3">
        <f t="shared" si="23"/>
        <v>0.48393318880347164</v>
      </c>
    </row>
    <row r="115" spans="1:16" x14ac:dyDescent="0.2">
      <c r="A115" s="4">
        <v>2280</v>
      </c>
      <c r="B115" s="4">
        <v>26960</v>
      </c>
      <c r="C115" s="4">
        <v>8757</v>
      </c>
      <c r="D115" s="4">
        <v>12409</v>
      </c>
      <c r="E115" s="4">
        <f t="shared" si="12"/>
        <v>2280</v>
      </c>
      <c r="F115" s="4">
        <f t="shared" si="13"/>
        <v>5198400</v>
      </c>
      <c r="G115" s="4">
        <f t="shared" si="14"/>
        <v>25432.985288638796</v>
      </c>
      <c r="H115" s="2">
        <f t="shared" si="15"/>
        <v>11.824561403508772</v>
      </c>
      <c r="I115" s="2">
        <f t="shared" si="16"/>
        <v>5.186211141889812E-3</v>
      </c>
      <c r="J115" s="2">
        <f t="shared" si="17"/>
        <v>1.0600407185405536</v>
      </c>
      <c r="K115" s="1">
        <f t="shared" si="18"/>
        <v>3.8407894736842105</v>
      </c>
      <c r="L115" s="1">
        <f t="shared" si="19"/>
        <v>1.6845567867036012E-3</v>
      </c>
      <c r="M115" s="1">
        <f t="shared" si="20"/>
        <v>0.34431663843692983</v>
      </c>
      <c r="N115" s="3">
        <f t="shared" si="21"/>
        <v>5.4425438596491231</v>
      </c>
      <c r="O115" s="3">
        <f t="shared" si="22"/>
        <v>2.3870806401969837E-3</v>
      </c>
      <c r="P115" s="3">
        <f t="shared" si="23"/>
        <v>0.48790969126000483</v>
      </c>
    </row>
    <row r="116" spans="1:16" x14ac:dyDescent="0.2">
      <c r="A116" s="4">
        <v>2300</v>
      </c>
      <c r="B116" s="4">
        <v>27176</v>
      </c>
      <c r="C116" s="4">
        <v>8737</v>
      </c>
      <c r="D116" s="4">
        <v>12636</v>
      </c>
      <c r="E116" s="4">
        <f t="shared" si="12"/>
        <v>2300</v>
      </c>
      <c r="F116" s="4">
        <f t="shared" si="13"/>
        <v>5290000</v>
      </c>
      <c r="G116" s="4">
        <f t="shared" si="14"/>
        <v>25685.061735413001</v>
      </c>
      <c r="H116" s="2">
        <f t="shared" si="15"/>
        <v>11.815652173913044</v>
      </c>
      <c r="I116" s="2">
        <f t="shared" si="16"/>
        <v>5.1372400756143667E-3</v>
      </c>
      <c r="J116" s="2">
        <f t="shared" si="17"/>
        <v>1.0580469021233219</v>
      </c>
      <c r="K116" s="1">
        <f t="shared" si="18"/>
        <v>3.798695652173913</v>
      </c>
      <c r="L116" s="1">
        <f t="shared" si="19"/>
        <v>1.6516068052930056E-3</v>
      </c>
      <c r="M116" s="1">
        <f t="shared" si="20"/>
        <v>0.34015880864922959</v>
      </c>
      <c r="N116" s="3">
        <f t="shared" si="21"/>
        <v>5.493913043478261</v>
      </c>
      <c r="O116" s="3">
        <f t="shared" si="22"/>
        <v>2.3886578449905482E-3</v>
      </c>
      <c r="P116" s="3">
        <f t="shared" si="23"/>
        <v>0.4919591056531607</v>
      </c>
    </row>
    <row r="117" spans="1:16" x14ac:dyDescent="0.2">
      <c r="A117" s="4">
        <v>2320</v>
      </c>
      <c r="B117" s="4">
        <v>27784</v>
      </c>
      <c r="C117" s="4">
        <v>8886</v>
      </c>
      <c r="D117" s="4">
        <v>12854</v>
      </c>
      <c r="E117" s="4">
        <f t="shared" si="12"/>
        <v>2320</v>
      </c>
      <c r="F117" s="4">
        <f t="shared" si="13"/>
        <v>5382400</v>
      </c>
      <c r="G117" s="4">
        <f t="shared" si="14"/>
        <v>25937.389088834647</v>
      </c>
      <c r="H117" s="2">
        <f t="shared" si="15"/>
        <v>11.975862068965517</v>
      </c>
      <c r="I117" s="2">
        <f t="shared" si="16"/>
        <v>5.1620095124851363E-3</v>
      </c>
      <c r="J117" s="2">
        <f t="shared" si="17"/>
        <v>1.0711949419751068</v>
      </c>
      <c r="K117" s="1">
        <f t="shared" si="18"/>
        <v>3.8301724137931035</v>
      </c>
      <c r="L117" s="1">
        <f t="shared" si="19"/>
        <v>1.6509363852556481E-3</v>
      </c>
      <c r="M117" s="1">
        <f t="shared" si="20"/>
        <v>0.34259423604919376</v>
      </c>
      <c r="N117" s="3">
        <f t="shared" si="21"/>
        <v>5.5405172413793107</v>
      </c>
      <c r="O117" s="3">
        <f t="shared" si="22"/>
        <v>2.3881539833531511E-3</v>
      </c>
      <c r="P117" s="3">
        <f t="shared" si="23"/>
        <v>0.49557802275223234</v>
      </c>
    </row>
    <row r="118" spans="1:16" x14ac:dyDescent="0.2">
      <c r="A118" s="4">
        <v>2340</v>
      </c>
      <c r="B118" s="4">
        <v>28305</v>
      </c>
      <c r="C118" s="4">
        <v>9220</v>
      </c>
      <c r="D118" s="4">
        <v>13064</v>
      </c>
      <c r="E118" s="4">
        <f t="shared" si="12"/>
        <v>2340</v>
      </c>
      <c r="F118" s="4">
        <f t="shared" si="13"/>
        <v>5475600</v>
      </c>
      <c r="G118" s="4">
        <f t="shared" si="14"/>
        <v>26189.965185861594</v>
      </c>
      <c r="H118" s="2">
        <f t="shared" si="15"/>
        <v>12.096153846153847</v>
      </c>
      <c r="I118" s="2">
        <f t="shared" si="16"/>
        <v>5.1692965154503615E-3</v>
      </c>
      <c r="J118" s="2">
        <f t="shared" si="17"/>
        <v>1.08075745038715</v>
      </c>
      <c r="K118" s="1">
        <f t="shared" si="18"/>
        <v>3.9401709401709404</v>
      </c>
      <c r="L118" s="1">
        <f t="shared" si="19"/>
        <v>1.6838337351157864E-3</v>
      </c>
      <c r="M118" s="1">
        <f t="shared" si="20"/>
        <v>0.3520432323818945</v>
      </c>
      <c r="N118" s="3">
        <f t="shared" si="21"/>
        <v>5.5829059829059826</v>
      </c>
      <c r="O118" s="3">
        <f t="shared" si="22"/>
        <v>2.3858572576521296E-3</v>
      </c>
      <c r="P118" s="3">
        <f t="shared" si="23"/>
        <v>0.49881700518840233</v>
      </c>
    </row>
    <row r="119" spans="1:16" x14ac:dyDescent="0.2">
      <c r="A119" s="4">
        <v>2360</v>
      </c>
      <c r="B119" s="4">
        <v>28924</v>
      </c>
      <c r="C119" s="4">
        <v>9399</v>
      </c>
      <c r="D119" s="4">
        <v>13309</v>
      </c>
      <c r="E119" s="4">
        <f t="shared" si="12"/>
        <v>2360</v>
      </c>
      <c r="F119" s="4">
        <f t="shared" si="13"/>
        <v>5569600</v>
      </c>
      <c r="G119" s="4">
        <f t="shared" si="14"/>
        <v>26442.78790042812</v>
      </c>
      <c r="H119" s="2">
        <f t="shared" si="15"/>
        <v>12.255932203389831</v>
      </c>
      <c r="I119" s="2">
        <f t="shared" si="16"/>
        <v>5.1931916116058604E-3</v>
      </c>
      <c r="J119" s="2">
        <f t="shared" si="17"/>
        <v>1.0938332262435804</v>
      </c>
      <c r="K119" s="1">
        <f t="shared" si="18"/>
        <v>3.9826271186440678</v>
      </c>
      <c r="L119" s="1">
        <f t="shared" si="19"/>
        <v>1.6875538638322321E-3</v>
      </c>
      <c r="M119" s="1">
        <f t="shared" si="20"/>
        <v>0.3554466357856248</v>
      </c>
      <c r="N119" s="3">
        <f t="shared" si="21"/>
        <v>5.6394067796610168</v>
      </c>
      <c r="O119" s="3">
        <f t="shared" si="22"/>
        <v>2.3895791439241597E-3</v>
      </c>
      <c r="P119" s="3">
        <f t="shared" si="23"/>
        <v>0.50331304135236521</v>
      </c>
    </row>
    <row r="120" spans="1:16" x14ac:dyDescent="0.2">
      <c r="A120" s="4">
        <v>2380</v>
      </c>
      <c r="B120" s="4">
        <v>29209</v>
      </c>
      <c r="C120" s="4">
        <v>9585</v>
      </c>
      <c r="D120" s="4">
        <v>13519</v>
      </c>
      <c r="E120" s="4">
        <f t="shared" si="12"/>
        <v>2380</v>
      </c>
      <c r="F120" s="4">
        <f t="shared" si="13"/>
        <v>5664400</v>
      </c>
      <c r="G120" s="4">
        <f t="shared" si="14"/>
        <v>26695.855142504828</v>
      </c>
      <c r="H120" s="2">
        <f t="shared" si="15"/>
        <v>12.272689075630252</v>
      </c>
      <c r="I120" s="2">
        <f t="shared" si="16"/>
        <v>5.15659204858414E-3</v>
      </c>
      <c r="J120" s="2">
        <f t="shared" si="17"/>
        <v>1.0941398896600159</v>
      </c>
      <c r="K120" s="1">
        <f t="shared" si="18"/>
        <v>4.0273109243697478</v>
      </c>
      <c r="L120" s="1">
        <f t="shared" si="19"/>
        <v>1.6921474472141797E-3</v>
      </c>
      <c r="M120" s="1">
        <f t="shared" si="20"/>
        <v>0.35904450143418987</v>
      </c>
      <c r="N120" s="3">
        <f t="shared" si="21"/>
        <v>5.6802521008403364</v>
      </c>
      <c r="O120" s="3">
        <f t="shared" si="22"/>
        <v>2.3866605465715698E-3</v>
      </c>
      <c r="P120" s="3">
        <f t="shared" si="23"/>
        <v>0.50640820186633417</v>
      </c>
    </row>
    <row r="121" spans="1:16" x14ac:dyDescent="0.2">
      <c r="A121" s="4">
        <v>2400</v>
      </c>
      <c r="B121" s="4">
        <v>30152</v>
      </c>
      <c r="C121" s="4">
        <v>9983</v>
      </c>
      <c r="D121" s="4">
        <v>13802</v>
      </c>
      <c r="E121" s="4">
        <f t="shared" si="12"/>
        <v>2400</v>
      </c>
      <c r="F121" s="4">
        <f t="shared" si="13"/>
        <v>5760000</v>
      </c>
      <c r="G121" s="4">
        <f t="shared" si="14"/>
        <v>26949.164857190117</v>
      </c>
      <c r="H121" s="2">
        <f t="shared" si="15"/>
        <v>12.563333333333333</v>
      </c>
      <c r="I121" s="2">
        <f t="shared" si="16"/>
        <v>5.2347222222222222E-3</v>
      </c>
      <c r="J121" s="2">
        <f t="shared" si="17"/>
        <v>1.1188472874681814</v>
      </c>
      <c r="K121" s="1">
        <f t="shared" si="18"/>
        <v>4.159583333333333</v>
      </c>
      <c r="L121" s="1">
        <f t="shared" si="19"/>
        <v>1.7331597222222223E-3</v>
      </c>
      <c r="M121" s="1">
        <f t="shared" si="20"/>
        <v>0.3704381955026152</v>
      </c>
      <c r="N121" s="3">
        <f t="shared" si="21"/>
        <v>5.7508333333333335</v>
      </c>
      <c r="O121" s="3">
        <f t="shared" si="22"/>
        <v>2.3961805555555555E-3</v>
      </c>
      <c r="P121" s="3">
        <f t="shared" si="23"/>
        <v>0.51214945150025992</v>
      </c>
    </row>
    <row r="122" spans="1:16" x14ac:dyDescent="0.2">
      <c r="A122" s="4">
        <v>2420</v>
      </c>
      <c r="B122" s="4">
        <v>30376</v>
      </c>
      <c r="C122" s="4">
        <v>9929</v>
      </c>
      <c r="D122" s="4">
        <v>13971</v>
      </c>
      <c r="E122" s="4">
        <f t="shared" si="12"/>
        <v>2420</v>
      </c>
      <c r="F122" s="4">
        <f t="shared" si="13"/>
        <v>5856400</v>
      </c>
      <c r="G122" s="4">
        <f t="shared" si="14"/>
        <v>27202.715023831934</v>
      </c>
      <c r="H122" s="2">
        <f t="shared" si="15"/>
        <v>12.552066115702479</v>
      </c>
      <c r="I122" s="2">
        <f t="shared" si="16"/>
        <v>5.1868041800423471E-3</v>
      </c>
      <c r="J122" s="2">
        <f t="shared" si="17"/>
        <v>1.1166532448466262</v>
      </c>
      <c r="K122" s="1">
        <f t="shared" si="18"/>
        <v>4.1028925619834711</v>
      </c>
      <c r="L122" s="1">
        <f t="shared" si="19"/>
        <v>1.6954101495799468E-3</v>
      </c>
      <c r="M122" s="1">
        <f t="shared" si="20"/>
        <v>0.36500033144858285</v>
      </c>
      <c r="N122" s="3">
        <f t="shared" si="21"/>
        <v>5.7731404958677688</v>
      </c>
      <c r="O122" s="3">
        <f t="shared" si="22"/>
        <v>2.3855952462263508E-3</v>
      </c>
      <c r="P122" s="3">
        <f t="shared" si="23"/>
        <v>0.51358844099790013</v>
      </c>
    </row>
    <row r="123" spans="1:16" x14ac:dyDescent="0.2">
      <c r="A123" s="4">
        <v>2440</v>
      </c>
      <c r="B123" s="4">
        <v>30981</v>
      </c>
      <c r="C123" s="4">
        <v>10134</v>
      </c>
      <c r="D123" s="4">
        <v>14203</v>
      </c>
      <c r="E123" s="4">
        <f t="shared" si="12"/>
        <v>2440</v>
      </c>
      <c r="F123" s="4">
        <f t="shared" si="13"/>
        <v>5953600</v>
      </c>
      <c r="G123" s="4">
        <f t="shared" si="14"/>
        <v>27456.503655178607</v>
      </c>
      <c r="H123" s="2">
        <f t="shared" si="15"/>
        <v>12.697131147540984</v>
      </c>
      <c r="I123" s="2">
        <f t="shared" si="16"/>
        <v>5.2037422735823702E-3</v>
      </c>
      <c r="J123" s="2">
        <f t="shared" si="17"/>
        <v>1.128366538911324</v>
      </c>
      <c r="K123" s="1">
        <f t="shared" si="18"/>
        <v>4.1532786885245905</v>
      </c>
      <c r="L123" s="1">
        <f t="shared" si="19"/>
        <v>1.7021633969363074E-3</v>
      </c>
      <c r="M123" s="1">
        <f t="shared" si="20"/>
        <v>0.3690928796787501</v>
      </c>
      <c r="N123" s="3">
        <f t="shared" si="21"/>
        <v>5.8209016393442621</v>
      </c>
      <c r="O123" s="3">
        <f t="shared" si="22"/>
        <v>2.3856154259607634E-3</v>
      </c>
      <c r="P123" s="3">
        <f t="shared" si="23"/>
        <v>0.51729091869718646</v>
      </c>
    </row>
    <row r="124" spans="1:16" x14ac:dyDescent="0.2">
      <c r="A124" s="4">
        <v>2460</v>
      </c>
      <c r="B124" s="4">
        <v>31019</v>
      </c>
      <c r="C124" s="4">
        <v>10106</v>
      </c>
      <c r="D124" s="4">
        <v>14432</v>
      </c>
      <c r="E124" s="4">
        <f t="shared" si="12"/>
        <v>2460</v>
      </c>
      <c r="F124" s="4">
        <f t="shared" si="13"/>
        <v>6051600</v>
      </c>
      <c r="G124" s="4">
        <f t="shared" si="14"/>
        <v>27710.528796557439</v>
      </c>
      <c r="H124" s="2">
        <f t="shared" si="15"/>
        <v>12.609349593495935</v>
      </c>
      <c r="I124" s="2">
        <f t="shared" si="16"/>
        <v>5.1257518672747707E-3</v>
      </c>
      <c r="J124" s="2">
        <f t="shared" si="17"/>
        <v>1.1193940118477126</v>
      </c>
      <c r="K124" s="1">
        <f t="shared" si="18"/>
        <v>4.1081300813008133</v>
      </c>
      <c r="L124" s="1">
        <f t="shared" si="19"/>
        <v>1.6699715777645581E-3</v>
      </c>
      <c r="M124" s="1">
        <f t="shared" si="20"/>
        <v>0.36469892271617343</v>
      </c>
      <c r="N124" s="3">
        <f t="shared" si="21"/>
        <v>5.8666666666666663</v>
      </c>
      <c r="O124" s="3">
        <f t="shared" si="22"/>
        <v>2.3848238482384824E-3</v>
      </c>
      <c r="P124" s="3">
        <f t="shared" si="23"/>
        <v>0.52081286885412781</v>
      </c>
    </row>
    <row r="125" spans="1:16" x14ac:dyDescent="0.2">
      <c r="A125" s="4">
        <v>2480</v>
      </c>
      <c r="B125" s="4">
        <v>31743</v>
      </c>
      <c r="C125" s="4">
        <v>10166</v>
      </c>
      <c r="D125" s="4">
        <v>14667</v>
      </c>
      <c r="E125" s="4">
        <f t="shared" si="12"/>
        <v>2480</v>
      </c>
      <c r="F125" s="4">
        <f t="shared" si="13"/>
        <v>6150400</v>
      </c>
      <c r="G125" s="4">
        <f t="shared" si="14"/>
        <v>27964.788525080108</v>
      </c>
      <c r="H125" s="2">
        <f t="shared" si="15"/>
        <v>12.799596774193548</v>
      </c>
      <c r="I125" s="2">
        <f t="shared" si="16"/>
        <v>5.1611277315296569E-3</v>
      </c>
      <c r="J125" s="2">
        <f t="shared" si="17"/>
        <v>1.1351060270501032</v>
      </c>
      <c r="K125" s="1">
        <f t="shared" si="18"/>
        <v>4.0991935483870972</v>
      </c>
      <c r="L125" s="1">
        <f t="shared" si="19"/>
        <v>1.6529006243496357E-3</v>
      </c>
      <c r="M125" s="1">
        <f t="shared" si="20"/>
        <v>0.36352858491608703</v>
      </c>
      <c r="N125" s="3">
        <f t="shared" si="21"/>
        <v>5.9141129032258064</v>
      </c>
      <c r="O125" s="3">
        <f t="shared" si="22"/>
        <v>2.3847229448491153E-3</v>
      </c>
      <c r="P125" s="3">
        <f t="shared" si="23"/>
        <v>0.52448099104507651</v>
      </c>
    </row>
    <row r="126" spans="1:16" x14ac:dyDescent="0.2">
      <c r="A126" s="4">
        <v>2500</v>
      </c>
      <c r="B126" s="4">
        <v>32882</v>
      </c>
      <c r="C126" s="4">
        <v>10627</v>
      </c>
      <c r="D126" s="4">
        <v>14904</v>
      </c>
      <c r="E126" s="4">
        <f t="shared" si="12"/>
        <v>2500</v>
      </c>
      <c r="F126" s="4">
        <f t="shared" si="13"/>
        <v>6250000</v>
      </c>
      <c r="G126" s="4">
        <f t="shared" si="14"/>
        <v>28219.28094887362</v>
      </c>
      <c r="H126" s="2">
        <f t="shared" si="15"/>
        <v>13.152799999999999</v>
      </c>
      <c r="I126" s="2">
        <f t="shared" si="16"/>
        <v>5.2611200000000002E-3</v>
      </c>
      <c r="J126" s="2">
        <f t="shared" si="17"/>
        <v>1.1652316747394831</v>
      </c>
      <c r="K126" s="1">
        <f t="shared" si="18"/>
        <v>4.2507999999999999</v>
      </c>
      <c r="L126" s="1">
        <f t="shared" si="19"/>
        <v>1.70032E-3</v>
      </c>
      <c r="M126" s="1">
        <f t="shared" si="20"/>
        <v>0.37658649131611482</v>
      </c>
      <c r="N126" s="3">
        <f t="shared" si="21"/>
        <v>5.9615999999999998</v>
      </c>
      <c r="O126" s="3">
        <f t="shared" si="22"/>
        <v>2.3846399999999999E-3</v>
      </c>
      <c r="P126" s="3">
        <f t="shared" si="23"/>
        <v>0.52814953106007112</v>
      </c>
    </row>
    <row r="127" spans="1:16" x14ac:dyDescent="0.2">
      <c r="A127" s="4">
        <v>2520</v>
      </c>
      <c r="B127" s="4">
        <v>33123</v>
      </c>
      <c r="C127" s="4">
        <v>10735</v>
      </c>
      <c r="D127" s="4">
        <v>15151</v>
      </c>
      <c r="E127" s="4">
        <f t="shared" si="12"/>
        <v>2520</v>
      </c>
      <c r="F127" s="4">
        <f t="shared" si="13"/>
        <v>6350400</v>
      </c>
      <c r="G127" s="4">
        <f t="shared" si="14"/>
        <v>28474.004206335943</v>
      </c>
      <c r="H127" s="2">
        <f t="shared" si="15"/>
        <v>13.144047619047619</v>
      </c>
      <c r="I127" s="2">
        <f t="shared" si="16"/>
        <v>5.2158919123204833E-3</v>
      </c>
      <c r="J127" s="2">
        <f t="shared" si="17"/>
        <v>1.1632715848454351</v>
      </c>
      <c r="K127" s="1">
        <f t="shared" si="18"/>
        <v>4.2599206349206353</v>
      </c>
      <c r="L127" s="1">
        <f t="shared" si="19"/>
        <v>1.6904446963970773E-3</v>
      </c>
      <c r="M127" s="1">
        <f t="shared" si="20"/>
        <v>0.37701055047295673</v>
      </c>
      <c r="N127" s="3">
        <f t="shared" si="21"/>
        <v>6.0123015873015877</v>
      </c>
      <c r="O127" s="3">
        <f t="shared" si="22"/>
        <v>2.3858339632149158E-3</v>
      </c>
      <c r="P127" s="3">
        <f t="shared" si="23"/>
        <v>0.53209938055107286</v>
      </c>
    </row>
    <row r="128" spans="1:16" x14ac:dyDescent="0.2">
      <c r="A128" s="4">
        <v>2540</v>
      </c>
      <c r="B128" s="4">
        <v>33429</v>
      </c>
      <c r="C128" s="4">
        <v>10746</v>
      </c>
      <c r="D128" s="4">
        <v>15398</v>
      </c>
      <c r="E128" s="4">
        <f t="shared" si="12"/>
        <v>2540</v>
      </c>
      <c r="F128" s="4">
        <f t="shared" si="13"/>
        <v>6451600</v>
      </c>
      <c r="G128" s="4">
        <f t="shared" si="14"/>
        <v>28728.956465415205</v>
      </c>
      <c r="H128" s="2">
        <f t="shared" si="15"/>
        <v>13.161023622047244</v>
      </c>
      <c r="I128" s="2">
        <f t="shared" si="16"/>
        <v>5.181505363010726E-3</v>
      </c>
      <c r="J128" s="2">
        <f t="shared" si="17"/>
        <v>1.1635995216269985</v>
      </c>
      <c r="K128" s="1">
        <f t="shared" si="18"/>
        <v>4.2307086614173226</v>
      </c>
      <c r="L128" s="1">
        <f t="shared" si="19"/>
        <v>1.6656333312666625E-3</v>
      </c>
      <c r="M128" s="1">
        <f t="shared" si="20"/>
        <v>0.37404769689203166</v>
      </c>
      <c r="N128" s="3">
        <f t="shared" si="21"/>
        <v>6.0622047244094492</v>
      </c>
      <c r="O128" s="3">
        <f t="shared" si="22"/>
        <v>2.3866947733895468E-3</v>
      </c>
      <c r="P128" s="3">
        <f t="shared" si="23"/>
        <v>0.53597491501428474</v>
      </c>
    </row>
    <row r="129" spans="1:16" x14ac:dyDescent="0.2">
      <c r="A129" s="4">
        <v>2560</v>
      </c>
      <c r="B129" s="4">
        <v>33941</v>
      </c>
      <c r="C129" s="4">
        <v>10848</v>
      </c>
      <c r="D129" s="4">
        <v>15630</v>
      </c>
      <c r="E129" s="4">
        <f t="shared" si="12"/>
        <v>2560</v>
      </c>
      <c r="F129" s="4">
        <f t="shared" si="13"/>
        <v>6553600</v>
      </c>
      <c r="G129" s="4">
        <f t="shared" si="14"/>
        <v>28984.13592291165</v>
      </c>
      <c r="H129" s="2">
        <f t="shared" si="15"/>
        <v>13.258203125</v>
      </c>
      <c r="I129" s="2">
        <f t="shared" si="16"/>
        <v>5.1789855957031254E-3</v>
      </c>
      <c r="J129" s="2">
        <f t="shared" si="17"/>
        <v>1.1710199017238945</v>
      </c>
      <c r="K129" s="1">
        <f t="shared" si="18"/>
        <v>4.2374999999999998</v>
      </c>
      <c r="L129" s="1">
        <f t="shared" si="19"/>
        <v>1.6552734375000001E-3</v>
      </c>
      <c r="M129" s="1">
        <f t="shared" si="20"/>
        <v>0.37427370713593611</v>
      </c>
      <c r="N129" s="3">
        <f t="shared" si="21"/>
        <v>6.10546875</v>
      </c>
      <c r="O129" s="3">
        <f t="shared" si="22"/>
        <v>2.3849487304687502E-3</v>
      </c>
      <c r="P129" s="3">
        <f t="shared" si="23"/>
        <v>0.53926051277052744</v>
      </c>
    </row>
    <row r="130" spans="1:16" x14ac:dyDescent="0.2">
      <c r="A130" s="4">
        <v>2580</v>
      </c>
      <c r="B130" s="4">
        <v>34457</v>
      </c>
      <c r="C130" s="4">
        <v>11242</v>
      </c>
      <c r="D130" s="4">
        <v>15877</v>
      </c>
      <c r="E130" s="4">
        <f t="shared" si="12"/>
        <v>2580</v>
      </c>
      <c r="F130" s="4">
        <f t="shared" si="13"/>
        <v>6656400</v>
      </c>
      <c r="G130" s="4">
        <f t="shared" si="14"/>
        <v>29239.540803801392</v>
      </c>
      <c r="H130" s="2">
        <f t="shared" si="15"/>
        <v>13.355426356589147</v>
      </c>
      <c r="I130" s="2">
        <f t="shared" si="16"/>
        <v>5.1765218436392044E-3</v>
      </c>
      <c r="J130" s="2">
        <f t="shared" si="17"/>
        <v>1.1784384792910392</v>
      </c>
      <c r="K130" s="1">
        <f t="shared" si="18"/>
        <v>4.3573643410852716</v>
      </c>
      <c r="L130" s="1">
        <f t="shared" si="19"/>
        <v>1.6889009073973919E-3</v>
      </c>
      <c r="M130" s="1">
        <f t="shared" si="20"/>
        <v>0.38447936222508811</v>
      </c>
      <c r="N130" s="3">
        <f t="shared" si="21"/>
        <v>6.1538759689922484</v>
      </c>
      <c r="O130" s="3">
        <f t="shared" si="22"/>
        <v>2.3852232437954449E-3</v>
      </c>
      <c r="P130" s="3">
        <f t="shared" si="23"/>
        <v>0.54299758353030814</v>
      </c>
    </row>
    <row r="131" spans="1:16" x14ac:dyDescent="0.2">
      <c r="A131" s="4">
        <v>2600</v>
      </c>
      <c r="B131" s="4">
        <v>35212</v>
      </c>
      <c r="C131" s="4">
        <v>11377</v>
      </c>
      <c r="D131" s="4">
        <v>16133</v>
      </c>
      <c r="E131" s="4">
        <f t="shared" ref="E131:E194" si="24">A131</f>
        <v>2600</v>
      </c>
      <c r="F131" s="4">
        <f t="shared" ref="F131:F194" si="25">A131 * A131</f>
        <v>6760000</v>
      </c>
      <c r="G131" s="4">
        <f t="shared" ref="G131:G194" si="26">A131 * LOG(A131, 2)</f>
        <v>29495.169360581127</v>
      </c>
      <c r="H131" s="2">
        <f t="shared" ref="H131:H194" si="27">B131/E131</f>
        <v>13.543076923076923</v>
      </c>
      <c r="I131" s="2">
        <f t="shared" ref="I131:I194" si="28">B131/F131</f>
        <v>5.2088757396449702E-3</v>
      </c>
      <c r="J131" s="2">
        <f t="shared" ref="J131:J194" si="29">B131/G131</f>
        <v>1.1938226076795864</v>
      </c>
      <c r="K131" s="1">
        <f t="shared" ref="K131:K194" si="30">C131/E131</f>
        <v>4.3757692307692304</v>
      </c>
      <c r="L131" s="1">
        <f t="shared" ref="L131:L194" si="31">C131/F131</f>
        <v>1.6829881656804733E-3</v>
      </c>
      <c r="M131" s="1">
        <f t="shared" ref="M131:M194" si="32">C131/G131</f>
        <v>0.38572417947207355</v>
      </c>
      <c r="N131" s="3">
        <f t="shared" ref="N131:N194" si="33">D131/E131</f>
        <v>6.2050000000000001</v>
      </c>
      <c r="O131" s="3">
        <f t="shared" ref="O131:O194" si="34">D131/F131</f>
        <v>2.3865384615384616E-3</v>
      </c>
      <c r="P131" s="3">
        <f t="shared" ref="P131:P194" si="35">D131/G131</f>
        <v>0.54697092268813952</v>
      </c>
    </row>
    <row r="132" spans="1:16" x14ac:dyDescent="0.2">
      <c r="A132" s="4">
        <v>2620</v>
      </c>
      <c r="B132" s="4">
        <v>35710</v>
      </c>
      <c r="C132" s="4">
        <v>11692</v>
      </c>
      <c r="D132" s="4">
        <v>16363</v>
      </c>
      <c r="E132" s="4">
        <f t="shared" si="24"/>
        <v>2620</v>
      </c>
      <c r="F132" s="4">
        <f t="shared" si="25"/>
        <v>6864400</v>
      </c>
      <c r="G132" s="4">
        <f t="shared" si="26"/>
        <v>29751.019872633013</v>
      </c>
      <c r="H132" s="2">
        <f t="shared" si="27"/>
        <v>13.629770992366412</v>
      </c>
      <c r="I132" s="2">
        <f t="shared" si="28"/>
        <v>5.2022026688421418E-3</v>
      </c>
      <c r="J132" s="2">
        <f t="shared" si="29"/>
        <v>1.2002949866215664</v>
      </c>
      <c r="K132" s="1">
        <f t="shared" si="30"/>
        <v>4.4625954198473279</v>
      </c>
      <c r="L132" s="1">
        <f t="shared" si="31"/>
        <v>1.703280694598217E-3</v>
      </c>
      <c r="M132" s="1">
        <f t="shared" si="32"/>
        <v>0.39299493093193377</v>
      </c>
      <c r="N132" s="3">
        <f t="shared" si="33"/>
        <v>6.2454198473282441</v>
      </c>
      <c r="O132" s="3">
        <f t="shared" si="34"/>
        <v>2.3837480333313908E-3</v>
      </c>
      <c r="P132" s="3">
        <f t="shared" si="35"/>
        <v>0.5499979520047239</v>
      </c>
    </row>
    <row r="133" spans="1:16" x14ac:dyDescent="0.2">
      <c r="A133" s="4">
        <v>2640</v>
      </c>
      <c r="B133" s="4">
        <v>36329</v>
      </c>
      <c r="C133" s="4">
        <v>11722</v>
      </c>
      <c r="D133" s="4">
        <v>16613</v>
      </c>
      <c r="E133" s="4">
        <f t="shared" si="24"/>
        <v>2640</v>
      </c>
      <c r="F133" s="4">
        <f t="shared" si="25"/>
        <v>6969600</v>
      </c>
      <c r="G133" s="4">
        <f t="shared" si="26"/>
        <v>30007.090645608954</v>
      </c>
      <c r="H133" s="2">
        <f t="shared" si="27"/>
        <v>13.760984848484849</v>
      </c>
      <c r="I133" s="2">
        <f t="shared" si="28"/>
        <v>5.2124942607897152E-3</v>
      </c>
      <c r="J133" s="2">
        <f t="shared" si="29"/>
        <v>1.2106805164504062</v>
      </c>
      <c r="K133" s="1">
        <f t="shared" si="30"/>
        <v>4.4401515151515154</v>
      </c>
      <c r="L133" s="1">
        <f t="shared" si="31"/>
        <v>1.6818755739210285E-3</v>
      </c>
      <c r="M133" s="1">
        <f t="shared" si="32"/>
        <v>0.39064100343614361</v>
      </c>
      <c r="N133" s="3">
        <f t="shared" si="33"/>
        <v>6.2928030303030305</v>
      </c>
      <c r="O133" s="3">
        <f t="shared" si="34"/>
        <v>2.3836375114784205E-3</v>
      </c>
      <c r="P133" s="3">
        <f t="shared" si="35"/>
        <v>0.55363581215531932</v>
      </c>
    </row>
    <row r="134" spans="1:16" x14ac:dyDescent="0.2">
      <c r="A134" s="4">
        <v>2660</v>
      </c>
      <c r="B134" s="4">
        <v>37002</v>
      </c>
      <c r="C134" s="4">
        <v>12050</v>
      </c>
      <c r="D134" s="4">
        <v>16882</v>
      </c>
      <c r="E134" s="4">
        <f t="shared" si="24"/>
        <v>2660</v>
      </c>
      <c r="F134" s="4">
        <f t="shared" si="25"/>
        <v>7075600</v>
      </c>
      <c r="G134" s="4">
        <f t="shared" si="26"/>
        <v>30263.380010833549</v>
      </c>
      <c r="H134" s="2">
        <f t="shared" si="27"/>
        <v>13.910526315789474</v>
      </c>
      <c r="I134" s="2">
        <f t="shared" si="28"/>
        <v>5.229521171349426E-3</v>
      </c>
      <c r="J134" s="2">
        <f t="shared" si="29"/>
        <v>1.2226658088671587</v>
      </c>
      <c r="K134" s="1">
        <f t="shared" si="30"/>
        <v>4.530075187969925</v>
      </c>
      <c r="L134" s="1">
        <f t="shared" si="31"/>
        <v>1.7030357849510997E-3</v>
      </c>
      <c r="M134" s="1">
        <f t="shared" si="32"/>
        <v>0.39817099067210587</v>
      </c>
      <c r="N134" s="3">
        <f t="shared" si="33"/>
        <v>6.3466165413533835</v>
      </c>
      <c r="O134" s="3">
        <f t="shared" si="34"/>
        <v>2.3859460681779636E-3</v>
      </c>
      <c r="P134" s="3">
        <f t="shared" si="35"/>
        <v>0.55783590576983333</v>
      </c>
    </row>
    <row r="135" spans="1:16" x14ac:dyDescent="0.2">
      <c r="A135" s="4">
        <v>2680</v>
      </c>
      <c r="B135" s="4">
        <v>37680</v>
      </c>
      <c r="C135" s="4">
        <v>12102</v>
      </c>
      <c r="D135" s="4">
        <v>17129</v>
      </c>
      <c r="E135" s="4">
        <f t="shared" si="24"/>
        <v>2680</v>
      </c>
      <c r="F135" s="4">
        <f t="shared" si="25"/>
        <v>7182400</v>
      </c>
      <c r="G135" s="4">
        <f t="shared" si="26"/>
        <v>30519.886324724965</v>
      </c>
      <c r="H135" s="2">
        <f t="shared" si="27"/>
        <v>14.059701492537313</v>
      </c>
      <c r="I135" s="2">
        <f t="shared" si="28"/>
        <v>5.2461572733348187E-3</v>
      </c>
      <c r="J135" s="2">
        <f t="shared" si="29"/>
        <v>1.2346048605520015</v>
      </c>
      <c r="K135" s="1">
        <f t="shared" si="30"/>
        <v>4.5156716417910445</v>
      </c>
      <c r="L135" s="1">
        <f t="shared" si="31"/>
        <v>1.6849521051459121E-3</v>
      </c>
      <c r="M135" s="1">
        <f t="shared" si="32"/>
        <v>0.39652834454353292</v>
      </c>
      <c r="N135" s="3">
        <f t="shared" si="33"/>
        <v>6.3914179104477613</v>
      </c>
      <c r="O135" s="3">
        <f t="shared" si="34"/>
        <v>2.3848574292715525E-3</v>
      </c>
      <c r="P135" s="3">
        <f t="shared" si="35"/>
        <v>0.56124062251579698</v>
      </c>
    </row>
    <row r="136" spans="1:16" x14ac:dyDescent="0.2">
      <c r="A136" s="4">
        <v>2700</v>
      </c>
      <c r="B136" s="4">
        <v>38302</v>
      </c>
      <c r="C136" s="4">
        <v>12441</v>
      </c>
      <c r="D136" s="4">
        <v>17372</v>
      </c>
      <c r="E136" s="4">
        <f t="shared" si="24"/>
        <v>2700</v>
      </c>
      <c r="F136" s="4">
        <f t="shared" si="25"/>
        <v>7290000</v>
      </c>
      <c r="G136" s="4">
        <f t="shared" si="26"/>
        <v>30776.607968233122</v>
      </c>
      <c r="H136" s="2">
        <f t="shared" si="27"/>
        <v>14.185925925925925</v>
      </c>
      <c r="I136" s="2">
        <f t="shared" si="28"/>
        <v>5.2540466392318247E-3</v>
      </c>
      <c r="J136" s="2">
        <f t="shared" si="29"/>
        <v>1.2445166159810206</v>
      </c>
      <c r="K136" s="1">
        <f t="shared" si="30"/>
        <v>4.6077777777777778</v>
      </c>
      <c r="L136" s="1">
        <f t="shared" si="31"/>
        <v>1.7065843621399178E-3</v>
      </c>
      <c r="M136" s="1">
        <f t="shared" si="32"/>
        <v>0.40423558089446709</v>
      </c>
      <c r="N136" s="3">
        <f t="shared" si="33"/>
        <v>6.4340740740740738</v>
      </c>
      <c r="O136" s="3">
        <f t="shared" si="34"/>
        <v>2.3829903978052126E-3</v>
      </c>
      <c r="P136" s="3">
        <f t="shared" si="35"/>
        <v>0.56445466693181268</v>
      </c>
    </row>
    <row r="137" spans="1:16" x14ac:dyDescent="0.2">
      <c r="A137" s="4">
        <v>2720</v>
      </c>
      <c r="B137" s="4">
        <v>38557</v>
      </c>
      <c r="C137" s="4">
        <v>12361</v>
      </c>
      <c r="D137" s="4">
        <v>17653</v>
      </c>
      <c r="E137" s="4">
        <f t="shared" si="24"/>
        <v>2720</v>
      </c>
      <c r="F137" s="4">
        <f t="shared" si="25"/>
        <v>7398400</v>
      </c>
      <c r="G137" s="4">
        <f t="shared" si="26"/>
        <v>31033.543346294551</v>
      </c>
      <c r="H137" s="2">
        <f t="shared" si="27"/>
        <v>14.175367647058824</v>
      </c>
      <c r="I137" s="2">
        <f t="shared" si="28"/>
        <v>5.2115322231833907E-3</v>
      </c>
      <c r="J137" s="2">
        <f t="shared" si="29"/>
        <v>1.2424298305144637</v>
      </c>
      <c r="K137" s="1">
        <f t="shared" si="30"/>
        <v>4.5444852941176475</v>
      </c>
      <c r="L137" s="1">
        <f t="shared" si="31"/>
        <v>1.6707666522491349E-3</v>
      </c>
      <c r="M137" s="1">
        <f t="shared" si="32"/>
        <v>0.39831094574238879</v>
      </c>
      <c r="N137" s="3">
        <f t="shared" si="33"/>
        <v>6.4900735294117649</v>
      </c>
      <c r="O137" s="3">
        <f t="shared" si="34"/>
        <v>2.3860564446366783E-3</v>
      </c>
      <c r="P137" s="3">
        <f t="shared" si="35"/>
        <v>0.56883610753097558</v>
      </c>
    </row>
    <row r="138" spans="1:16" x14ac:dyDescent="0.2">
      <c r="A138" s="4">
        <v>2740</v>
      </c>
      <c r="B138" s="4">
        <v>39654</v>
      </c>
      <c r="C138" s="4">
        <v>13016</v>
      </c>
      <c r="D138" s="4">
        <v>17917</v>
      </c>
      <c r="E138" s="4">
        <f t="shared" si="24"/>
        <v>2740</v>
      </c>
      <c r="F138" s="4">
        <f t="shared" si="25"/>
        <v>7507600</v>
      </c>
      <c r="G138" s="4">
        <f t="shared" si="26"/>
        <v>31290.690887303215</v>
      </c>
      <c r="H138" s="2">
        <f t="shared" si="27"/>
        <v>14.472262773722628</v>
      </c>
      <c r="I138" s="2">
        <f t="shared" si="28"/>
        <v>5.2818477276359958E-3</v>
      </c>
      <c r="J138" s="2">
        <f t="shared" si="29"/>
        <v>1.2672778668524176</v>
      </c>
      <c r="K138" s="1">
        <f t="shared" si="30"/>
        <v>4.7503649635036496</v>
      </c>
      <c r="L138" s="1">
        <f t="shared" si="31"/>
        <v>1.7337098406947627E-3</v>
      </c>
      <c r="M138" s="1">
        <f t="shared" si="32"/>
        <v>0.41597036150075822</v>
      </c>
      <c r="N138" s="3">
        <f t="shared" si="33"/>
        <v>6.5390510948905112</v>
      </c>
      <c r="O138" s="3">
        <f t="shared" si="34"/>
        <v>2.3865149981352231E-3</v>
      </c>
      <c r="P138" s="3">
        <f t="shared" si="35"/>
        <v>0.57259841479787077</v>
      </c>
    </row>
    <row r="139" spans="1:16" x14ac:dyDescent="0.2">
      <c r="A139" s="4">
        <v>2760</v>
      </c>
      <c r="B139" s="4">
        <v>39860</v>
      </c>
      <c r="C139" s="4">
        <v>12957</v>
      </c>
      <c r="D139" s="4">
        <v>18156</v>
      </c>
      <c r="E139" s="4">
        <f t="shared" si="24"/>
        <v>2760</v>
      </c>
      <c r="F139" s="4">
        <f t="shared" si="25"/>
        <v>7617600</v>
      </c>
      <c r="G139" s="4">
        <f t="shared" si="26"/>
        <v>31548.049042596867</v>
      </c>
      <c r="H139" s="2">
        <f t="shared" si="27"/>
        <v>14.442028985507246</v>
      </c>
      <c r="I139" s="2">
        <f t="shared" si="28"/>
        <v>5.2326191976475528E-3</v>
      </c>
      <c r="J139" s="2">
        <f t="shared" si="29"/>
        <v>1.2634695713253188</v>
      </c>
      <c r="K139" s="1">
        <f t="shared" si="30"/>
        <v>4.6945652173913039</v>
      </c>
      <c r="L139" s="1">
        <f t="shared" si="31"/>
        <v>1.7009294265910523E-3</v>
      </c>
      <c r="M139" s="1">
        <f t="shared" si="32"/>
        <v>0.41070685488364667</v>
      </c>
      <c r="N139" s="3">
        <f t="shared" si="33"/>
        <v>6.5782608695652174</v>
      </c>
      <c r="O139" s="3">
        <f t="shared" si="34"/>
        <v>2.3834278512917455E-3</v>
      </c>
      <c r="P139" s="3">
        <f t="shared" si="35"/>
        <v>0.57550309927201426</v>
      </c>
    </row>
    <row r="140" spans="1:16" x14ac:dyDescent="0.2">
      <c r="A140" s="4">
        <v>2780</v>
      </c>
      <c r="B140" s="4">
        <v>40141</v>
      </c>
      <c r="C140" s="4">
        <v>12698</v>
      </c>
      <c r="D140" s="4">
        <v>18429</v>
      </c>
      <c r="E140" s="4">
        <f t="shared" si="24"/>
        <v>2780</v>
      </c>
      <c r="F140" s="4">
        <f t="shared" si="25"/>
        <v>7728400</v>
      </c>
      <c r="G140" s="4">
        <f t="shared" si="26"/>
        <v>31805.616285958218</v>
      </c>
      <c r="H140" s="2">
        <f t="shared" si="27"/>
        <v>14.439208633093525</v>
      </c>
      <c r="I140" s="2">
        <f t="shared" si="28"/>
        <v>5.1939599399616993E-3</v>
      </c>
      <c r="J140" s="2">
        <f t="shared" si="29"/>
        <v>1.2620726993339773</v>
      </c>
      <c r="K140" s="1">
        <f t="shared" si="30"/>
        <v>4.5676258992805758</v>
      </c>
      <c r="L140" s="1">
        <f t="shared" si="31"/>
        <v>1.6430308990217897E-3</v>
      </c>
      <c r="M140" s="1">
        <f t="shared" si="32"/>
        <v>0.39923766563221752</v>
      </c>
      <c r="N140" s="3">
        <f t="shared" si="33"/>
        <v>6.6291366906474822</v>
      </c>
      <c r="O140" s="3">
        <f t="shared" si="34"/>
        <v>2.3845815433983747E-3</v>
      </c>
      <c r="P140" s="3">
        <f t="shared" si="35"/>
        <v>0.57942596786392642</v>
      </c>
    </row>
    <row r="141" spans="1:16" x14ac:dyDescent="0.2">
      <c r="A141" s="4">
        <v>2800</v>
      </c>
      <c r="B141" s="4">
        <v>40910</v>
      </c>
      <c r="C141" s="4">
        <v>12989</v>
      </c>
      <c r="D141" s="4">
        <v>18681</v>
      </c>
      <c r="E141" s="4">
        <f t="shared" si="24"/>
        <v>2800</v>
      </c>
      <c r="F141" s="4">
        <f t="shared" si="25"/>
        <v>7840000</v>
      </c>
      <c r="G141" s="4">
        <f t="shared" si="26"/>
        <v>32063.391113130521</v>
      </c>
      <c r="H141" s="2">
        <f t="shared" si="27"/>
        <v>14.610714285714286</v>
      </c>
      <c r="I141" s="2">
        <f t="shared" si="28"/>
        <v>5.2181122448979591E-3</v>
      </c>
      <c r="J141" s="2">
        <f t="shared" si="29"/>
        <v>1.2759099577351516</v>
      </c>
      <c r="K141" s="1">
        <f t="shared" si="30"/>
        <v>4.6389285714285711</v>
      </c>
      <c r="L141" s="1">
        <f t="shared" si="31"/>
        <v>1.6567602040816326E-3</v>
      </c>
      <c r="M141" s="1">
        <f t="shared" si="32"/>
        <v>0.40510375069718613</v>
      </c>
      <c r="N141" s="3">
        <f t="shared" si="33"/>
        <v>6.671785714285714</v>
      </c>
      <c r="O141" s="3">
        <f t="shared" si="34"/>
        <v>2.3827806122448981E-3</v>
      </c>
      <c r="P141" s="3">
        <f t="shared" si="35"/>
        <v>0.58262708189807788</v>
      </c>
    </row>
    <row r="142" spans="1:16" x14ac:dyDescent="0.2">
      <c r="A142" s="4">
        <v>2820</v>
      </c>
      <c r="B142" s="4">
        <v>41572</v>
      </c>
      <c r="C142" s="4">
        <v>13123</v>
      </c>
      <c r="D142" s="4">
        <v>18948</v>
      </c>
      <c r="E142" s="4">
        <f t="shared" si="24"/>
        <v>2820</v>
      </c>
      <c r="F142" s="4">
        <f t="shared" si="25"/>
        <v>7952400</v>
      </c>
      <c r="G142" s="4">
        <f t="shared" si="26"/>
        <v>32321.37204134696</v>
      </c>
      <c r="H142" s="2">
        <f t="shared" si="27"/>
        <v>14.741843971631205</v>
      </c>
      <c r="I142" s="2">
        <f t="shared" si="28"/>
        <v>5.2276042452592932E-3</v>
      </c>
      <c r="J142" s="2">
        <f t="shared" si="29"/>
        <v>1.2862077744354175</v>
      </c>
      <c r="K142" s="1">
        <f t="shared" si="30"/>
        <v>4.6535460992907804</v>
      </c>
      <c r="L142" s="1">
        <f t="shared" si="31"/>
        <v>1.6501936522307732E-3</v>
      </c>
      <c r="M142" s="1">
        <f t="shared" si="32"/>
        <v>0.40601617973434001</v>
      </c>
      <c r="N142" s="3">
        <f t="shared" si="33"/>
        <v>6.719148936170213</v>
      </c>
      <c r="O142" s="3">
        <f t="shared" si="34"/>
        <v>2.3826769277199337E-3</v>
      </c>
      <c r="P142" s="3">
        <f t="shared" si="35"/>
        <v>0.58623748941600817</v>
      </c>
    </row>
    <row r="143" spans="1:16" x14ac:dyDescent="0.2">
      <c r="A143" s="4">
        <v>2840</v>
      </c>
      <c r="B143" s="4">
        <v>42249</v>
      </c>
      <c r="C143" s="4">
        <v>13695</v>
      </c>
      <c r="D143" s="4">
        <v>19213</v>
      </c>
      <c r="E143" s="4">
        <f t="shared" si="24"/>
        <v>2840</v>
      </c>
      <c r="F143" s="4">
        <f t="shared" si="25"/>
        <v>8065600</v>
      </c>
      <c r="G143" s="4">
        <f t="shared" si="26"/>
        <v>32579.557608873409</v>
      </c>
      <c r="H143" s="2">
        <f t="shared" si="27"/>
        <v>14.876408450704226</v>
      </c>
      <c r="I143" s="2">
        <f t="shared" si="28"/>
        <v>5.2381719896845867E-3</v>
      </c>
      <c r="J143" s="2">
        <f t="shared" si="29"/>
        <v>1.2967947725752118</v>
      </c>
      <c r="K143" s="1">
        <f t="shared" si="30"/>
        <v>4.822183098591549</v>
      </c>
      <c r="L143" s="1">
        <f t="shared" si="31"/>
        <v>1.6979517952787145E-3</v>
      </c>
      <c r="M143" s="1">
        <f t="shared" si="32"/>
        <v>0.42035561576410152</v>
      </c>
      <c r="N143" s="3">
        <f t="shared" si="33"/>
        <v>6.7651408450704222</v>
      </c>
      <c r="O143" s="3">
        <f t="shared" si="34"/>
        <v>2.3820918468557828E-3</v>
      </c>
      <c r="P143" s="3">
        <f t="shared" si="35"/>
        <v>0.58972562582516841</v>
      </c>
    </row>
    <row r="144" spans="1:16" x14ac:dyDescent="0.2">
      <c r="A144" s="4">
        <v>2860</v>
      </c>
      <c r="B144" s="4">
        <v>43212</v>
      </c>
      <c r="C144" s="4">
        <v>14297</v>
      </c>
      <c r="D144" s="4">
        <v>19480</v>
      </c>
      <c r="E144" s="4">
        <f t="shared" si="24"/>
        <v>2860</v>
      </c>
      <c r="F144" s="4">
        <f t="shared" si="25"/>
        <v>8179600</v>
      </c>
      <c r="G144" s="4">
        <f t="shared" si="26"/>
        <v>32837.946374564053</v>
      </c>
      <c r="H144" s="2">
        <f t="shared" si="27"/>
        <v>15.109090909090909</v>
      </c>
      <c r="I144" s="2">
        <f t="shared" si="28"/>
        <v>5.2828989192625552E-3</v>
      </c>
      <c r="J144" s="2">
        <f t="shared" si="29"/>
        <v>1.3159166382423837</v>
      </c>
      <c r="K144" s="1">
        <f t="shared" si="30"/>
        <v>4.9989510489510494</v>
      </c>
      <c r="L144" s="1">
        <f t="shared" si="31"/>
        <v>1.7478849821507163E-3</v>
      </c>
      <c r="M144" s="1">
        <f t="shared" si="32"/>
        <v>0.43538045396999353</v>
      </c>
      <c r="N144" s="3">
        <f t="shared" si="33"/>
        <v>6.8111888111888108</v>
      </c>
      <c r="O144" s="3">
        <f t="shared" si="34"/>
        <v>2.3815345493667173E-3</v>
      </c>
      <c r="P144" s="3">
        <f t="shared" si="35"/>
        <v>0.59321614627792363</v>
      </c>
    </row>
    <row r="145" spans="1:16" x14ac:dyDescent="0.2">
      <c r="A145" s="4">
        <v>2880</v>
      </c>
      <c r="B145" s="4">
        <v>43340</v>
      </c>
      <c r="C145" s="4">
        <v>13932</v>
      </c>
      <c r="D145" s="4">
        <v>19764</v>
      </c>
      <c r="E145" s="4">
        <f t="shared" si="24"/>
        <v>2880</v>
      </c>
      <c r="F145" s="4">
        <f t="shared" si="25"/>
        <v>8294400</v>
      </c>
      <c r="G145" s="4">
        <f t="shared" si="26"/>
        <v>33096.536917429468</v>
      </c>
      <c r="H145" s="2">
        <f t="shared" si="27"/>
        <v>15.048611111111111</v>
      </c>
      <c r="I145" s="2">
        <f t="shared" si="28"/>
        <v>5.2252121913580248E-3</v>
      </c>
      <c r="J145" s="2">
        <f t="shared" si="29"/>
        <v>1.3095025654232744</v>
      </c>
      <c r="K145" s="1">
        <f t="shared" si="30"/>
        <v>4.8375000000000004</v>
      </c>
      <c r="L145" s="1">
        <f t="shared" si="31"/>
        <v>1.6796875E-3</v>
      </c>
      <c r="M145" s="1">
        <f t="shared" si="32"/>
        <v>0.42095038628235026</v>
      </c>
      <c r="N145" s="3">
        <f t="shared" si="33"/>
        <v>6.8624999999999998</v>
      </c>
      <c r="O145" s="3">
        <f t="shared" si="34"/>
        <v>2.3828124999999999E-3</v>
      </c>
      <c r="P145" s="3">
        <f t="shared" si="35"/>
        <v>0.59716217588891551</v>
      </c>
    </row>
    <row r="146" spans="1:16" x14ac:dyDescent="0.2">
      <c r="A146" s="4">
        <v>2900</v>
      </c>
      <c r="B146" s="4">
        <v>44260</v>
      </c>
      <c r="C146" s="4">
        <v>14154</v>
      </c>
      <c r="D146" s="4">
        <v>20054</v>
      </c>
      <c r="E146" s="4">
        <f t="shared" si="24"/>
        <v>2900</v>
      </c>
      <c r="F146" s="4">
        <f t="shared" si="25"/>
        <v>8410000</v>
      </c>
      <c r="G146" s="4">
        <f t="shared" si="26"/>
        <v>33355.327836216667</v>
      </c>
      <c r="H146" s="2">
        <f t="shared" si="27"/>
        <v>15.262068965517241</v>
      </c>
      <c r="I146" s="2">
        <f t="shared" si="28"/>
        <v>5.2627824019024971E-3</v>
      </c>
      <c r="J146" s="2">
        <f t="shared" si="29"/>
        <v>1.3269244486916185</v>
      </c>
      <c r="K146" s="1">
        <f t="shared" si="30"/>
        <v>4.8806896551724135</v>
      </c>
      <c r="L146" s="1">
        <f t="shared" si="31"/>
        <v>1.6829964328180737E-3</v>
      </c>
      <c r="M146" s="1">
        <f t="shared" si="32"/>
        <v>0.42434000557571555</v>
      </c>
      <c r="N146" s="3">
        <f t="shared" si="33"/>
        <v>6.9151724137931039</v>
      </c>
      <c r="O146" s="3">
        <f t="shared" si="34"/>
        <v>2.3845422116527942E-3</v>
      </c>
      <c r="P146" s="3">
        <f t="shared" si="35"/>
        <v>0.6012232917772643</v>
      </c>
    </row>
    <row r="147" spans="1:16" x14ac:dyDescent="0.2">
      <c r="A147" s="4">
        <v>2920</v>
      </c>
      <c r="B147" s="4">
        <v>44587</v>
      </c>
      <c r="C147" s="4">
        <v>14132</v>
      </c>
      <c r="D147" s="4">
        <v>20319</v>
      </c>
      <c r="E147" s="4">
        <f t="shared" si="24"/>
        <v>2920</v>
      </c>
      <c r="F147" s="4">
        <f t="shared" si="25"/>
        <v>8526400</v>
      </c>
      <c r="G147" s="4">
        <f t="shared" si="26"/>
        <v>33614.317749000751</v>
      </c>
      <c r="H147" s="2">
        <f t="shared" si="27"/>
        <v>15.269520547945206</v>
      </c>
      <c r="I147" s="2">
        <f t="shared" si="28"/>
        <v>5.2292878588853439E-3</v>
      </c>
      <c r="J147" s="2">
        <f t="shared" si="29"/>
        <v>1.3264288251492307</v>
      </c>
      <c r="K147" s="1">
        <f t="shared" si="30"/>
        <v>4.8397260273972602</v>
      </c>
      <c r="L147" s="1">
        <f t="shared" si="31"/>
        <v>1.6574404203415275E-3</v>
      </c>
      <c r="M147" s="1">
        <f t="shared" si="32"/>
        <v>0.42041608892746607</v>
      </c>
      <c r="N147" s="3">
        <f t="shared" si="33"/>
        <v>6.9585616438356164</v>
      </c>
      <c r="O147" s="3">
        <f t="shared" si="34"/>
        <v>2.3830690561080876E-3</v>
      </c>
      <c r="P147" s="3">
        <f t="shared" si="35"/>
        <v>0.60447456205188099</v>
      </c>
    </row>
    <row r="148" spans="1:16" x14ac:dyDescent="0.2">
      <c r="A148" s="4">
        <v>2940</v>
      </c>
      <c r="B148" s="4">
        <v>45320</v>
      </c>
      <c r="C148" s="4">
        <v>14232</v>
      </c>
      <c r="D148" s="4">
        <v>20585</v>
      </c>
      <c r="E148" s="4">
        <f t="shared" si="24"/>
        <v>2940</v>
      </c>
      <c r="F148" s="4">
        <f t="shared" si="25"/>
        <v>8643600</v>
      </c>
      <c r="G148" s="4">
        <f t="shared" si="26"/>
        <v>33873.505292787755</v>
      </c>
      <c r="H148" s="2">
        <f t="shared" si="27"/>
        <v>15.414965986394558</v>
      </c>
      <c r="I148" s="2">
        <f t="shared" si="28"/>
        <v>5.2431857096580129E-3</v>
      </c>
      <c r="J148" s="2">
        <f t="shared" si="29"/>
        <v>1.3379188131926045</v>
      </c>
      <c r="K148" s="1">
        <f t="shared" si="30"/>
        <v>4.8408163265306126</v>
      </c>
      <c r="L148" s="1">
        <f t="shared" si="31"/>
        <v>1.6465361654866028E-3</v>
      </c>
      <c r="M148" s="1">
        <f t="shared" si="32"/>
        <v>0.42015138017116388</v>
      </c>
      <c r="N148" s="3">
        <f t="shared" si="33"/>
        <v>7.0017006802721085</v>
      </c>
      <c r="O148" s="3">
        <f t="shared" si="34"/>
        <v>2.381530843629969E-3</v>
      </c>
      <c r="P148" s="3">
        <f t="shared" si="35"/>
        <v>0.60770209112025075</v>
      </c>
    </row>
    <row r="149" spans="1:16" x14ac:dyDescent="0.2">
      <c r="A149" s="4">
        <v>2960</v>
      </c>
      <c r="B149" s="4">
        <v>45850</v>
      </c>
      <c r="C149" s="4">
        <v>14517</v>
      </c>
      <c r="D149" s="4">
        <v>20876</v>
      </c>
      <c r="E149" s="4">
        <f t="shared" si="24"/>
        <v>2960</v>
      </c>
      <c r="F149" s="4">
        <f t="shared" si="25"/>
        <v>8761600</v>
      </c>
      <c r="G149" s="4">
        <f t="shared" si="26"/>
        <v>34132.889123128283</v>
      </c>
      <c r="H149" s="2">
        <f t="shared" si="27"/>
        <v>15.489864864864865</v>
      </c>
      <c r="I149" s="2">
        <f t="shared" si="28"/>
        <v>5.2330624543462378E-3</v>
      </c>
      <c r="J149" s="2">
        <f t="shared" si="29"/>
        <v>1.3432792001463556</v>
      </c>
      <c r="K149" s="1">
        <f t="shared" si="30"/>
        <v>4.9043918918918923</v>
      </c>
      <c r="L149" s="1">
        <f t="shared" si="31"/>
        <v>1.6568891526661798E-3</v>
      </c>
      <c r="M149" s="1">
        <f t="shared" si="32"/>
        <v>0.42530826932441973</v>
      </c>
      <c r="N149" s="3">
        <f t="shared" si="33"/>
        <v>7.0527027027027023</v>
      </c>
      <c r="O149" s="3">
        <f t="shared" si="34"/>
        <v>2.3826698319941563E-3</v>
      </c>
      <c r="P149" s="3">
        <f t="shared" si="35"/>
        <v>0.61160952196849117</v>
      </c>
    </row>
    <row r="150" spans="1:16" x14ac:dyDescent="0.2">
      <c r="A150" s="4">
        <v>2980</v>
      </c>
      <c r="B150" s="4">
        <v>46826</v>
      </c>
      <c r="C150" s="4">
        <v>15041</v>
      </c>
      <c r="D150" s="4">
        <v>21136</v>
      </c>
      <c r="E150" s="4">
        <f t="shared" si="24"/>
        <v>2980</v>
      </c>
      <c r="F150" s="4">
        <f t="shared" si="25"/>
        <v>8880400</v>
      </c>
      <c r="G150" s="4">
        <f t="shared" si="26"/>
        <v>34392.467913741588</v>
      </c>
      <c r="H150" s="2">
        <f t="shared" si="27"/>
        <v>15.713422818791946</v>
      </c>
      <c r="I150" s="2">
        <f t="shared" si="28"/>
        <v>5.2729606774469615E-3</v>
      </c>
      <c r="J150" s="2">
        <f t="shared" si="29"/>
        <v>1.3615190429905313</v>
      </c>
      <c r="K150" s="1">
        <f t="shared" si="30"/>
        <v>5.0473154362416111</v>
      </c>
      <c r="L150" s="1">
        <f t="shared" si="31"/>
        <v>1.6937300121616144E-3</v>
      </c>
      <c r="M150" s="1">
        <f t="shared" si="32"/>
        <v>0.43733412902277752</v>
      </c>
      <c r="N150" s="3">
        <f t="shared" si="33"/>
        <v>7.0926174496644299</v>
      </c>
      <c r="O150" s="3">
        <f t="shared" si="34"/>
        <v>2.3800729696860502E-3</v>
      </c>
      <c r="P150" s="3">
        <f t="shared" si="35"/>
        <v>0.61455316475137467</v>
      </c>
    </row>
    <row r="151" spans="1:16" x14ac:dyDescent="0.2">
      <c r="A151" s="4">
        <v>3000</v>
      </c>
      <c r="B151" s="4">
        <v>47406</v>
      </c>
      <c r="C151" s="4">
        <v>15177</v>
      </c>
      <c r="D151" s="4">
        <v>21446</v>
      </c>
      <c r="E151" s="4">
        <f t="shared" si="24"/>
        <v>3000</v>
      </c>
      <c r="F151" s="4">
        <f t="shared" si="25"/>
        <v>9000000</v>
      </c>
      <c r="G151" s="4">
        <f t="shared" si="26"/>
        <v>34652.240356149727</v>
      </c>
      <c r="H151" s="2">
        <f t="shared" si="27"/>
        <v>15.802</v>
      </c>
      <c r="I151" s="2">
        <f t="shared" si="28"/>
        <v>5.2673333333333331E-3</v>
      </c>
      <c r="J151" s="2">
        <f t="shared" si="29"/>
        <v>1.3680500744762629</v>
      </c>
      <c r="K151" s="1">
        <f t="shared" si="30"/>
        <v>5.0590000000000002</v>
      </c>
      <c r="L151" s="1">
        <f t="shared" si="31"/>
        <v>1.6863333333333333E-3</v>
      </c>
      <c r="M151" s="1">
        <f t="shared" si="32"/>
        <v>0.43798033962633937</v>
      </c>
      <c r="N151" s="3">
        <f t="shared" si="33"/>
        <v>7.1486666666666663</v>
      </c>
      <c r="O151" s="3">
        <f t="shared" si="34"/>
        <v>2.3828888888888888E-3</v>
      </c>
      <c r="P151" s="3">
        <f t="shared" si="35"/>
        <v>0.6188921633805412</v>
      </c>
    </row>
    <row r="152" spans="1:16" x14ac:dyDescent="0.2">
      <c r="A152" s="4">
        <v>3020</v>
      </c>
      <c r="B152" s="4">
        <v>47737</v>
      </c>
      <c r="C152" s="4">
        <v>15254</v>
      </c>
      <c r="D152" s="4">
        <v>21727</v>
      </c>
      <c r="E152" s="4">
        <f t="shared" si="24"/>
        <v>3020</v>
      </c>
      <c r="F152" s="4">
        <f t="shared" si="25"/>
        <v>9120400</v>
      </c>
      <c r="G152" s="4">
        <f t="shared" si="26"/>
        <v>34912.205159321573</v>
      </c>
      <c r="H152" s="2">
        <f t="shared" si="27"/>
        <v>15.806953642384107</v>
      </c>
      <c r="I152" s="2">
        <f t="shared" si="28"/>
        <v>5.2340906100609621E-3</v>
      </c>
      <c r="J152" s="2">
        <f t="shared" si="29"/>
        <v>1.367344164659682</v>
      </c>
      <c r="K152" s="1">
        <f t="shared" si="30"/>
        <v>5.0509933774834437</v>
      </c>
      <c r="L152" s="1">
        <f t="shared" si="31"/>
        <v>1.6725143634051139E-3</v>
      </c>
      <c r="M152" s="1">
        <f t="shared" si="32"/>
        <v>0.43692456349830927</v>
      </c>
      <c r="N152" s="3">
        <f t="shared" si="33"/>
        <v>7.1943708609271519</v>
      </c>
      <c r="O152" s="3">
        <f t="shared" si="34"/>
        <v>2.3822420069295205E-3</v>
      </c>
      <c r="P152" s="3">
        <f t="shared" si="35"/>
        <v>0.62233250236841264</v>
      </c>
    </row>
    <row r="153" spans="1:16" x14ac:dyDescent="0.2">
      <c r="A153" s="4">
        <v>3040</v>
      </c>
      <c r="B153" s="4">
        <v>48491</v>
      </c>
      <c r="C153" s="4">
        <v>15467</v>
      </c>
      <c r="D153" s="4">
        <v>22017</v>
      </c>
      <c r="E153" s="4">
        <f t="shared" si="24"/>
        <v>3040</v>
      </c>
      <c r="F153" s="4">
        <f t="shared" si="25"/>
        <v>9241600</v>
      </c>
      <c r="G153" s="4">
        <f t="shared" si="26"/>
        <v>35172.361049326079</v>
      </c>
      <c r="H153" s="2">
        <f t="shared" si="27"/>
        <v>15.950986842105262</v>
      </c>
      <c r="I153" s="2">
        <f t="shared" si="28"/>
        <v>5.2470351454293627E-3</v>
      </c>
      <c r="J153" s="2">
        <f t="shared" si="29"/>
        <v>1.3786677536943206</v>
      </c>
      <c r="K153" s="1">
        <f t="shared" si="30"/>
        <v>5.0878289473684211</v>
      </c>
      <c r="L153" s="1">
        <f t="shared" si="31"/>
        <v>1.6736279432132963E-3</v>
      </c>
      <c r="M153" s="1">
        <f t="shared" si="32"/>
        <v>0.4397486986531533</v>
      </c>
      <c r="N153" s="3">
        <f t="shared" si="33"/>
        <v>7.2424342105263158</v>
      </c>
      <c r="O153" s="3">
        <f t="shared" si="34"/>
        <v>2.3823796745152353E-3</v>
      </c>
      <c r="P153" s="3">
        <f t="shared" si="35"/>
        <v>0.62597446810929569</v>
      </c>
    </row>
    <row r="154" spans="1:16" x14ac:dyDescent="0.2">
      <c r="A154" s="4">
        <v>3060</v>
      </c>
      <c r="B154" s="4">
        <v>49389</v>
      </c>
      <c r="C154" s="4">
        <v>15859</v>
      </c>
      <c r="D154" s="4">
        <v>22314</v>
      </c>
      <c r="E154" s="4">
        <f t="shared" si="24"/>
        <v>3060</v>
      </c>
      <c r="F154" s="4">
        <f t="shared" si="25"/>
        <v>9363600</v>
      </c>
      <c r="G154" s="4">
        <f t="shared" si="26"/>
        <v>35432.706768994838</v>
      </c>
      <c r="H154" s="2">
        <f t="shared" si="27"/>
        <v>16.140196078431373</v>
      </c>
      <c r="I154" s="2">
        <f t="shared" si="28"/>
        <v>5.2745738818403181E-3</v>
      </c>
      <c r="J154" s="2">
        <f t="shared" si="29"/>
        <v>1.3938816563463203</v>
      </c>
      <c r="K154" s="1">
        <f t="shared" si="30"/>
        <v>5.1826797385620917</v>
      </c>
      <c r="L154" s="1">
        <f t="shared" si="31"/>
        <v>1.693686189072579E-3</v>
      </c>
      <c r="M154" s="1">
        <f t="shared" si="32"/>
        <v>0.44758082139740213</v>
      </c>
      <c r="N154" s="3">
        <f t="shared" si="33"/>
        <v>7.2921568627450979</v>
      </c>
      <c r="O154" s="3">
        <f t="shared" si="34"/>
        <v>2.3830577982827117E-3</v>
      </c>
      <c r="P154" s="3">
        <f t="shared" si="35"/>
        <v>0.62975713781837639</v>
      </c>
    </row>
    <row r="155" spans="1:16" x14ac:dyDescent="0.2">
      <c r="A155" s="4">
        <v>3080</v>
      </c>
      <c r="B155" s="4">
        <v>50037</v>
      </c>
      <c r="C155" s="4">
        <v>15845</v>
      </c>
      <c r="D155" s="4">
        <v>22595</v>
      </c>
      <c r="E155" s="4">
        <f t="shared" si="24"/>
        <v>3080</v>
      </c>
      <c r="F155" s="4">
        <f t="shared" si="25"/>
        <v>9486400</v>
      </c>
      <c r="G155" s="4">
        <f t="shared" si="26"/>
        <v>35693.241077593375</v>
      </c>
      <c r="H155" s="2">
        <f t="shared" si="27"/>
        <v>16.24577922077922</v>
      </c>
      <c r="I155" s="2">
        <f t="shared" si="28"/>
        <v>5.2746036431101364E-3</v>
      </c>
      <c r="J155" s="2">
        <f t="shared" si="29"/>
        <v>1.4018620469691949</v>
      </c>
      <c r="K155" s="1">
        <f t="shared" si="30"/>
        <v>5.1444805194805197</v>
      </c>
      <c r="L155" s="1">
        <f t="shared" si="31"/>
        <v>1.6702858829482207E-3</v>
      </c>
      <c r="M155" s="1">
        <f t="shared" si="32"/>
        <v>0.44392158071480892</v>
      </c>
      <c r="N155" s="3">
        <f t="shared" si="33"/>
        <v>7.3360389610389607</v>
      </c>
      <c r="O155" s="3">
        <f t="shared" si="34"/>
        <v>2.3818308315061562E-3</v>
      </c>
      <c r="P155" s="3">
        <f t="shared" si="35"/>
        <v>0.63303301459457917</v>
      </c>
    </row>
    <row r="156" spans="1:16" x14ac:dyDescent="0.2">
      <c r="A156" s="4">
        <v>3100</v>
      </c>
      <c r="B156" s="4">
        <v>50785</v>
      </c>
      <c r="C156" s="4">
        <v>16342</v>
      </c>
      <c r="D156" s="4">
        <v>22903</v>
      </c>
      <c r="E156" s="4">
        <f t="shared" si="24"/>
        <v>3100</v>
      </c>
      <c r="F156" s="4">
        <f t="shared" si="25"/>
        <v>9610000</v>
      </c>
      <c r="G156" s="4">
        <f t="shared" si="26"/>
        <v>35953.962750500963</v>
      </c>
      <c r="H156" s="2">
        <f t="shared" si="27"/>
        <v>16.38225806451613</v>
      </c>
      <c r="I156" s="2">
        <f t="shared" si="28"/>
        <v>5.2845993756503642E-3</v>
      </c>
      <c r="J156" s="2">
        <f t="shared" si="29"/>
        <v>1.4125007680632475</v>
      </c>
      <c r="K156" s="1">
        <f t="shared" si="30"/>
        <v>5.2716129032258063</v>
      </c>
      <c r="L156" s="1">
        <f t="shared" si="31"/>
        <v>1.7005202913631633E-3</v>
      </c>
      <c r="M156" s="1">
        <f t="shared" si="32"/>
        <v>0.4545256975817582</v>
      </c>
      <c r="N156" s="3">
        <f t="shared" si="33"/>
        <v>7.3880645161290319</v>
      </c>
      <c r="O156" s="3">
        <f t="shared" si="34"/>
        <v>2.3832466181061395E-3</v>
      </c>
      <c r="P156" s="3">
        <f t="shared" si="35"/>
        <v>0.63700905958358878</v>
      </c>
    </row>
    <row r="157" spans="1:16" x14ac:dyDescent="0.2">
      <c r="A157" s="4">
        <v>3120</v>
      </c>
      <c r="B157" s="4">
        <v>51164</v>
      </c>
      <c r="C157" s="4">
        <v>16522</v>
      </c>
      <c r="D157" s="4">
        <v>23178</v>
      </c>
      <c r="E157" s="4">
        <f t="shared" si="24"/>
        <v>3120</v>
      </c>
      <c r="F157" s="4">
        <f t="shared" si="25"/>
        <v>9734400</v>
      </c>
      <c r="G157" s="4">
        <f t="shared" si="26"/>
        <v>36214.870578898794</v>
      </c>
      <c r="H157" s="2">
        <f t="shared" si="27"/>
        <v>16.398717948717948</v>
      </c>
      <c r="I157" s="2">
        <f t="shared" si="28"/>
        <v>5.2559993425378045E-3</v>
      </c>
      <c r="J157" s="2">
        <f t="shared" si="29"/>
        <v>1.4127898065666862</v>
      </c>
      <c r="K157" s="1">
        <f t="shared" si="30"/>
        <v>5.2955128205128208</v>
      </c>
      <c r="L157" s="1">
        <f t="shared" si="31"/>
        <v>1.6972797501643656E-3</v>
      </c>
      <c r="M157" s="1">
        <f t="shared" si="32"/>
        <v>0.45622142881898969</v>
      </c>
      <c r="N157" s="3">
        <f t="shared" si="33"/>
        <v>7.4288461538461537</v>
      </c>
      <c r="O157" s="3">
        <f t="shared" si="34"/>
        <v>2.3810404339250492E-3</v>
      </c>
      <c r="P157" s="3">
        <f t="shared" si="35"/>
        <v>0.64001333235483249</v>
      </c>
    </row>
    <row r="158" spans="1:16" x14ac:dyDescent="0.2">
      <c r="A158" s="4">
        <v>3140</v>
      </c>
      <c r="B158" s="4">
        <v>58782</v>
      </c>
      <c r="C158" s="4">
        <v>17218</v>
      </c>
      <c r="D158" s="4">
        <v>23645</v>
      </c>
      <c r="E158" s="4">
        <f t="shared" si="24"/>
        <v>3140</v>
      </c>
      <c r="F158" s="4">
        <f t="shared" si="25"/>
        <v>9859600</v>
      </c>
      <c r="G158" s="4">
        <f t="shared" si="26"/>
        <v>36475.96336946603</v>
      </c>
      <c r="H158" s="2">
        <f t="shared" si="27"/>
        <v>18.720382165605095</v>
      </c>
      <c r="I158" s="2">
        <f t="shared" si="28"/>
        <v>5.9619051482818772E-3</v>
      </c>
      <c r="J158" s="2">
        <f t="shared" si="29"/>
        <v>1.6115270049099324</v>
      </c>
      <c r="K158" s="1">
        <f t="shared" si="30"/>
        <v>5.4834394904458597</v>
      </c>
      <c r="L158" s="1">
        <f t="shared" si="31"/>
        <v>1.746318309059191E-3</v>
      </c>
      <c r="M158" s="1">
        <f t="shared" si="32"/>
        <v>0.4720368815375322</v>
      </c>
      <c r="N158" s="3">
        <f t="shared" si="33"/>
        <v>7.5302547770700636</v>
      </c>
      <c r="O158" s="3">
        <f t="shared" si="34"/>
        <v>2.3981703111688102E-3</v>
      </c>
      <c r="P158" s="3">
        <f t="shared" si="35"/>
        <v>0.64823510651381977</v>
      </c>
    </row>
    <row r="159" spans="1:16" x14ac:dyDescent="0.2">
      <c r="A159" s="4">
        <v>3160</v>
      </c>
      <c r="B159" s="4">
        <v>52943</v>
      </c>
      <c r="C159" s="4">
        <v>16811</v>
      </c>
      <c r="D159" s="4">
        <v>23783</v>
      </c>
      <c r="E159" s="4">
        <f t="shared" si="24"/>
        <v>3160</v>
      </c>
      <c r="F159" s="4">
        <f t="shared" si="25"/>
        <v>9985600</v>
      </c>
      <c r="G159" s="4">
        <f t="shared" si="26"/>
        <v>36737.239944083711</v>
      </c>
      <c r="H159" s="2">
        <f t="shared" si="27"/>
        <v>16.754113924050632</v>
      </c>
      <c r="I159" s="2">
        <f t="shared" si="28"/>
        <v>5.3019347860919722E-3</v>
      </c>
      <c r="J159" s="2">
        <f t="shared" si="29"/>
        <v>1.4411262272446823</v>
      </c>
      <c r="K159" s="1">
        <f t="shared" si="30"/>
        <v>5.3199367088607596</v>
      </c>
      <c r="L159" s="1">
        <f t="shared" si="31"/>
        <v>1.6835242749559365E-3</v>
      </c>
      <c r="M159" s="1">
        <f t="shared" si="32"/>
        <v>0.45760106163629477</v>
      </c>
      <c r="N159" s="3">
        <f t="shared" si="33"/>
        <v>7.5262658227848105</v>
      </c>
      <c r="O159" s="3">
        <f t="shared" si="34"/>
        <v>2.3817296907546869E-3</v>
      </c>
      <c r="P159" s="3">
        <f t="shared" si="35"/>
        <v>0.64738124138337982</v>
      </c>
    </row>
    <row r="160" spans="1:16" x14ac:dyDescent="0.2">
      <c r="A160" s="4">
        <v>3180</v>
      </c>
      <c r="B160" s="4">
        <v>53345</v>
      </c>
      <c r="C160" s="4">
        <v>16923</v>
      </c>
      <c r="D160" s="4">
        <v>24074</v>
      </c>
      <c r="E160" s="4">
        <f t="shared" si="24"/>
        <v>3180</v>
      </c>
      <c r="F160" s="4">
        <f t="shared" si="25"/>
        <v>10112400</v>
      </c>
      <c r="G160" s="4">
        <f t="shared" si="26"/>
        <v>36998.699139546057</v>
      </c>
      <c r="H160" s="2">
        <f t="shared" si="27"/>
        <v>16.775157232704402</v>
      </c>
      <c r="I160" s="2">
        <f t="shared" si="28"/>
        <v>5.27520667695107E-3</v>
      </c>
      <c r="J160" s="2">
        <f t="shared" si="29"/>
        <v>1.4418074483862651</v>
      </c>
      <c r="K160" s="1">
        <f t="shared" si="30"/>
        <v>5.3216981132075469</v>
      </c>
      <c r="L160" s="1">
        <f t="shared" si="31"/>
        <v>1.6734899727067758E-3</v>
      </c>
      <c r="M160" s="1">
        <f t="shared" si="32"/>
        <v>0.45739445963146991</v>
      </c>
      <c r="N160" s="3">
        <f t="shared" si="33"/>
        <v>7.570440251572327</v>
      </c>
      <c r="O160" s="3">
        <f t="shared" si="34"/>
        <v>2.3806415885447569E-3</v>
      </c>
      <c r="P160" s="3">
        <f t="shared" si="35"/>
        <v>0.65067152521231497</v>
      </c>
    </row>
    <row r="161" spans="1:16" x14ac:dyDescent="0.2">
      <c r="A161" s="4">
        <v>3200</v>
      </c>
      <c r="B161" s="4">
        <v>54161</v>
      </c>
      <c r="C161" s="4">
        <v>17057</v>
      </c>
      <c r="D161" s="4">
        <v>24382</v>
      </c>
      <c r="E161" s="4">
        <f t="shared" si="24"/>
        <v>3200</v>
      </c>
      <c r="F161" s="4">
        <f t="shared" si="25"/>
        <v>10240000</v>
      </c>
      <c r="G161" s="4">
        <f t="shared" si="26"/>
        <v>37260.339807279124</v>
      </c>
      <c r="H161" s="2">
        <f t="shared" si="27"/>
        <v>16.9253125</v>
      </c>
      <c r="I161" s="2">
        <f t="shared" si="28"/>
        <v>5.2891601562500001E-3</v>
      </c>
      <c r="J161" s="2">
        <f t="shared" si="29"/>
        <v>1.45358309344831</v>
      </c>
      <c r="K161" s="1">
        <f t="shared" si="30"/>
        <v>5.3303124999999998</v>
      </c>
      <c r="L161" s="1">
        <f t="shared" si="31"/>
        <v>1.66572265625E-3</v>
      </c>
      <c r="M161" s="1">
        <f t="shared" si="32"/>
        <v>0.45777897056826544</v>
      </c>
      <c r="N161" s="3">
        <f t="shared" si="33"/>
        <v>7.6193749999999998</v>
      </c>
      <c r="O161" s="3">
        <f t="shared" si="34"/>
        <v>2.3810546875000001E-3</v>
      </c>
      <c r="P161" s="3">
        <f t="shared" si="35"/>
        <v>0.65436869674593701</v>
      </c>
    </row>
    <row r="162" spans="1:16" x14ac:dyDescent="0.2">
      <c r="A162" s="4">
        <v>3220</v>
      </c>
      <c r="B162" s="4">
        <v>55090</v>
      </c>
      <c r="C162" s="4">
        <v>17630</v>
      </c>
      <c r="D162" s="4">
        <v>24696</v>
      </c>
      <c r="E162" s="4">
        <f t="shared" si="24"/>
        <v>3220</v>
      </c>
      <c r="F162" s="4">
        <f t="shared" si="25"/>
        <v>10368400</v>
      </c>
      <c r="G162" s="4">
        <f t="shared" si="26"/>
        <v>37522.160813066374</v>
      </c>
      <c r="H162" s="2">
        <f t="shared" si="27"/>
        <v>17.108695652173914</v>
      </c>
      <c r="I162" s="2">
        <f t="shared" si="28"/>
        <v>5.3132595193086688E-3</v>
      </c>
      <c r="J162" s="2">
        <f t="shared" si="29"/>
        <v>1.4681990270884391</v>
      </c>
      <c r="K162" s="1">
        <f t="shared" si="30"/>
        <v>5.475155279503106</v>
      </c>
      <c r="L162" s="1">
        <f t="shared" si="31"/>
        <v>1.7003587824543807E-3</v>
      </c>
      <c r="M162" s="1">
        <f t="shared" si="32"/>
        <v>0.46985566976890869</v>
      </c>
      <c r="N162" s="3">
        <f t="shared" si="33"/>
        <v>7.6695652173913045</v>
      </c>
      <c r="O162" s="3">
        <f t="shared" si="34"/>
        <v>2.3818525519848769E-3</v>
      </c>
      <c r="P162" s="3">
        <f t="shared" si="35"/>
        <v>0.65817105051690128</v>
      </c>
    </row>
    <row r="163" spans="1:16" x14ac:dyDescent="0.2">
      <c r="A163" s="4">
        <v>3240</v>
      </c>
      <c r="B163" s="4">
        <v>55240</v>
      </c>
      <c r="C163" s="4">
        <v>17380</v>
      </c>
      <c r="D163" s="4">
        <v>25000</v>
      </c>
      <c r="E163" s="4">
        <f t="shared" si="24"/>
        <v>3240</v>
      </c>
      <c r="F163" s="4">
        <f t="shared" si="25"/>
        <v>10497600</v>
      </c>
      <c r="G163" s="4">
        <f t="shared" si="26"/>
        <v>37784.161036781239</v>
      </c>
      <c r="H163" s="2">
        <f t="shared" si="27"/>
        <v>17.049382716049383</v>
      </c>
      <c r="I163" s="2">
        <f t="shared" si="28"/>
        <v>5.2621551592745008E-3</v>
      </c>
      <c r="J163" s="2">
        <f t="shared" si="29"/>
        <v>1.4619882639772326</v>
      </c>
      <c r="K163" s="1">
        <f t="shared" si="30"/>
        <v>5.3641975308641978</v>
      </c>
      <c r="L163" s="1">
        <f t="shared" si="31"/>
        <v>1.6556165218716658E-3</v>
      </c>
      <c r="M163" s="1">
        <f t="shared" si="32"/>
        <v>0.45998110115721041</v>
      </c>
      <c r="N163" s="3">
        <f t="shared" si="33"/>
        <v>7.716049382716049</v>
      </c>
      <c r="O163" s="3">
        <f t="shared" si="34"/>
        <v>2.3814967230605089E-3</v>
      </c>
      <c r="P163" s="3">
        <f t="shared" si="35"/>
        <v>0.66165290730323711</v>
      </c>
    </row>
    <row r="164" spans="1:16" x14ac:dyDescent="0.2">
      <c r="A164" s="4">
        <v>3260</v>
      </c>
      <c r="B164" s="4">
        <v>56016</v>
      </c>
      <c r="C164" s="4">
        <v>17635</v>
      </c>
      <c r="D164" s="4">
        <v>25292</v>
      </c>
      <c r="E164" s="4">
        <f t="shared" si="24"/>
        <v>3260</v>
      </c>
      <c r="F164" s="4">
        <f t="shared" si="25"/>
        <v>10627600</v>
      </c>
      <c r="G164" s="4">
        <f t="shared" si="26"/>
        <v>38046.339372126116</v>
      </c>
      <c r="H164" s="2">
        <f t="shared" si="27"/>
        <v>17.182822085889569</v>
      </c>
      <c r="I164" s="2">
        <f t="shared" si="28"/>
        <v>5.2708043208250215E-3</v>
      </c>
      <c r="J164" s="2">
        <f t="shared" si="29"/>
        <v>1.4723098443746467</v>
      </c>
      <c r="K164" s="1">
        <f t="shared" si="30"/>
        <v>5.4095092024539877</v>
      </c>
      <c r="L164" s="1">
        <f t="shared" si="31"/>
        <v>1.6593586510595055E-3</v>
      </c>
      <c r="M164" s="1">
        <f t="shared" si="32"/>
        <v>0.46351371225269383</v>
      </c>
      <c r="N164" s="3">
        <f t="shared" si="33"/>
        <v>7.7582822085889571</v>
      </c>
      <c r="O164" s="3">
        <f t="shared" si="34"/>
        <v>2.3798411682788212E-3</v>
      </c>
      <c r="P164" s="3">
        <f t="shared" si="35"/>
        <v>0.66476829091551637</v>
      </c>
    </row>
    <row r="165" spans="1:16" x14ac:dyDescent="0.2">
      <c r="A165" s="4">
        <v>3280</v>
      </c>
      <c r="B165" s="4">
        <v>56689</v>
      </c>
      <c r="C165" s="4">
        <v>17537</v>
      </c>
      <c r="D165" s="4">
        <v>25602</v>
      </c>
      <c r="E165" s="4">
        <f t="shared" si="24"/>
        <v>3280</v>
      </c>
      <c r="F165" s="4">
        <f t="shared" si="25"/>
        <v>10758400</v>
      </c>
      <c r="G165" s="4">
        <f t="shared" si="26"/>
        <v>38308.694726377864</v>
      </c>
      <c r="H165" s="2">
        <f t="shared" si="27"/>
        <v>17.283231707317075</v>
      </c>
      <c r="I165" s="2">
        <f t="shared" si="28"/>
        <v>5.2692779595478884E-3</v>
      </c>
      <c r="J165" s="2">
        <f t="shared" si="29"/>
        <v>1.4797946107249167</v>
      </c>
      <c r="K165" s="1">
        <f t="shared" si="30"/>
        <v>5.3466463414634147</v>
      </c>
      <c r="L165" s="1">
        <f t="shared" si="31"/>
        <v>1.6300751041046996E-3</v>
      </c>
      <c r="M165" s="1">
        <f t="shared" si="32"/>
        <v>0.45778119367571951</v>
      </c>
      <c r="N165" s="3">
        <f t="shared" si="33"/>
        <v>7.8054878048780489</v>
      </c>
      <c r="O165" s="3">
        <f t="shared" si="34"/>
        <v>2.3797218917311126E-3</v>
      </c>
      <c r="P165" s="3">
        <f t="shared" si="35"/>
        <v>0.66830781322265898</v>
      </c>
    </row>
    <row r="166" spans="1:16" x14ac:dyDescent="0.2">
      <c r="A166" s="4">
        <v>3300</v>
      </c>
      <c r="B166" s="4">
        <v>57550</v>
      </c>
      <c r="C166" s="4">
        <v>18082</v>
      </c>
      <c r="D166" s="4">
        <v>25919</v>
      </c>
      <c r="E166" s="4">
        <f t="shared" si="24"/>
        <v>3300</v>
      </c>
      <c r="F166" s="4">
        <f t="shared" si="25"/>
        <v>10890000</v>
      </c>
      <c r="G166" s="4">
        <f t="shared" si="26"/>
        <v>38571.226020139489</v>
      </c>
      <c r="H166" s="2">
        <f t="shared" si="27"/>
        <v>17.439393939393938</v>
      </c>
      <c r="I166" s="2">
        <f t="shared" si="28"/>
        <v>5.2846648301193757E-3</v>
      </c>
      <c r="J166" s="2">
        <f t="shared" si="29"/>
        <v>1.4920448722566138</v>
      </c>
      <c r="K166" s="1">
        <f t="shared" si="30"/>
        <v>5.4793939393939395</v>
      </c>
      <c r="L166" s="1">
        <f t="shared" si="31"/>
        <v>1.6604224058769513E-3</v>
      </c>
      <c r="M166" s="1">
        <f t="shared" si="32"/>
        <v>0.46879505438999286</v>
      </c>
      <c r="N166" s="3">
        <f t="shared" si="33"/>
        <v>7.8542424242424245</v>
      </c>
      <c r="O166" s="3">
        <f t="shared" si="34"/>
        <v>2.3800734618916438E-3</v>
      </c>
      <c r="P166" s="3">
        <f t="shared" si="35"/>
        <v>0.67197760285002905</v>
      </c>
    </row>
    <row r="167" spans="1:16" x14ac:dyDescent="0.2">
      <c r="A167" s="4">
        <v>3320</v>
      </c>
      <c r="B167" s="4">
        <v>58103</v>
      </c>
      <c r="C167" s="4">
        <v>18514</v>
      </c>
      <c r="D167" s="4">
        <v>26236</v>
      </c>
      <c r="E167" s="4">
        <f t="shared" si="24"/>
        <v>3320</v>
      </c>
      <c r="F167" s="4">
        <f t="shared" si="25"/>
        <v>11022400</v>
      </c>
      <c r="G167" s="4">
        <f t="shared" si="26"/>
        <v>38833.932187097831</v>
      </c>
      <c r="H167" s="2">
        <f t="shared" si="27"/>
        <v>17.50090361445783</v>
      </c>
      <c r="I167" s="2">
        <f t="shared" si="28"/>
        <v>5.2713565103788647E-3</v>
      </c>
      <c r="J167" s="2">
        <f t="shared" si="29"/>
        <v>1.4961915193152682</v>
      </c>
      <c r="K167" s="1">
        <f t="shared" si="30"/>
        <v>5.5765060240963855</v>
      </c>
      <c r="L167" s="1">
        <f t="shared" si="31"/>
        <v>1.6796704891856582E-3</v>
      </c>
      <c r="M167" s="1">
        <f t="shared" si="32"/>
        <v>0.47674801281522255</v>
      </c>
      <c r="N167" s="3">
        <f t="shared" si="33"/>
        <v>7.9024096385542171</v>
      </c>
      <c r="O167" s="3">
        <f t="shared" si="34"/>
        <v>2.3802438670344028E-3</v>
      </c>
      <c r="P167" s="3">
        <f t="shared" si="35"/>
        <v>0.67559473178244456</v>
      </c>
    </row>
    <row r="168" spans="1:16" x14ac:dyDescent="0.2">
      <c r="A168" s="4">
        <v>3340</v>
      </c>
      <c r="B168" s="4">
        <v>59174</v>
      </c>
      <c r="C168" s="4">
        <v>18879</v>
      </c>
      <c r="D168" s="4">
        <v>26584</v>
      </c>
      <c r="E168" s="4">
        <f t="shared" si="24"/>
        <v>3340</v>
      </c>
      <c r="F168" s="4">
        <f t="shared" si="25"/>
        <v>11155600</v>
      </c>
      <c r="G168" s="4">
        <f t="shared" si="26"/>
        <v>39096.812173787126</v>
      </c>
      <c r="H168" s="2">
        <f t="shared" si="27"/>
        <v>17.716766467065867</v>
      </c>
      <c r="I168" s="2">
        <f t="shared" si="28"/>
        <v>5.304421097923913E-3</v>
      </c>
      <c r="J168" s="2">
        <f t="shared" si="29"/>
        <v>1.5135249323389552</v>
      </c>
      <c r="K168" s="1">
        <f t="shared" si="30"/>
        <v>5.6523952095808383</v>
      </c>
      <c r="L168" s="1">
        <f t="shared" si="31"/>
        <v>1.6923338950840833E-3</v>
      </c>
      <c r="M168" s="1">
        <f t="shared" si="32"/>
        <v>0.48287824378320099</v>
      </c>
      <c r="N168" s="3">
        <f t="shared" si="33"/>
        <v>7.9592814371257488</v>
      </c>
      <c r="O168" s="3">
        <f t="shared" si="34"/>
        <v>2.3830183943490263E-3</v>
      </c>
      <c r="P168" s="3">
        <f t="shared" si="35"/>
        <v>0.67995313484467479</v>
      </c>
    </row>
    <row r="169" spans="1:16" x14ac:dyDescent="0.2">
      <c r="A169" s="4">
        <v>3360</v>
      </c>
      <c r="B169" s="4">
        <v>59937</v>
      </c>
      <c r="C169" s="4">
        <v>18966</v>
      </c>
      <c r="D169" s="4">
        <v>26849</v>
      </c>
      <c r="E169" s="4">
        <f t="shared" si="24"/>
        <v>3360</v>
      </c>
      <c r="F169" s="4">
        <f t="shared" si="25"/>
        <v>11289600</v>
      </c>
      <c r="G169" s="4">
        <f t="shared" si="26"/>
        <v>39359.864939358165</v>
      </c>
      <c r="H169" s="2">
        <f t="shared" si="27"/>
        <v>17.838392857142857</v>
      </c>
      <c r="I169" s="2">
        <f t="shared" si="28"/>
        <v>5.3090454931972791E-3</v>
      </c>
      <c r="J169" s="2">
        <f t="shared" si="29"/>
        <v>1.5227948594931684</v>
      </c>
      <c r="K169" s="1">
        <f t="shared" si="30"/>
        <v>5.6446428571428573</v>
      </c>
      <c r="L169" s="1">
        <f t="shared" si="31"/>
        <v>1.6799532312925169E-3</v>
      </c>
      <c r="M169" s="1">
        <f t="shared" si="32"/>
        <v>0.48186140956583462</v>
      </c>
      <c r="N169" s="3">
        <f t="shared" si="33"/>
        <v>7.9907738095238097</v>
      </c>
      <c r="O169" s="3">
        <f t="shared" si="34"/>
        <v>2.3782064909297052E-3</v>
      </c>
      <c r="P169" s="3">
        <f t="shared" si="35"/>
        <v>0.68214156835564133</v>
      </c>
    </row>
    <row r="170" spans="1:16" x14ac:dyDescent="0.2">
      <c r="A170" s="4">
        <v>3380</v>
      </c>
      <c r="B170" s="4">
        <v>60762</v>
      </c>
      <c r="C170" s="4">
        <v>19083</v>
      </c>
      <c r="D170" s="4">
        <v>27191</v>
      </c>
      <c r="E170" s="4">
        <f t="shared" si="24"/>
        <v>3380</v>
      </c>
      <c r="F170" s="4">
        <f t="shared" si="25"/>
        <v>11424400</v>
      </c>
      <c r="G170" s="4">
        <f t="shared" si="26"/>
        <v>39623.089455353067</v>
      </c>
      <c r="H170" s="2">
        <f t="shared" si="27"/>
        <v>17.976923076923075</v>
      </c>
      <c r="I170" s="2">
        <f t="shared" si="28"/>
        <v>5.3186162949476557E-3</v>
      </c>
      <c r="J170" s="2">
        <f t="shared" si="29"/>
        <v>1.533499806179073</v>
      </c>
      <c r="K170" s="1">
        <f t="shared" si="30"/>
        <v>5.6458579881656803</v>
      </c>
      <c r="L170" s="1">
        <f t="shared" si="31"/>
        <v>1.6703721858478346E-3</v>
      </c>
      <c r="M170" s="1">
        <f t="shared" si="32"/>
        <v>0.48161312664683931</v>
      </c>
      <c r="N170" s="3">
        <f t="shared" si="33"/>
        <v>8.0446745562130175</v>
      </c>
      <c r="O170" s="3">
        <f t="shared" si="34"/>
        <v>2.3800812296488217E-3</v>
      </c>
      <c r="P170" s="3">
        <f t="shared" si="35"/>
        <v>0.68624128945418472</v>
      </c>
    </row>
    <row r="171" spans="1:16" x14ac:dyDescent="0.2">
      <c r="A171" s="4">
        <v>3400</v>
      </c>
      <c r="B171" s="4">
        <v>61206</v>
      </c>
      <c r="C171" s="4">
        <v>19742</v>
      </c>
      <c r="D171" s="4">
        <v>27519</v>
      </c>
      <c r="E171" s="4">
        <f t="shared" si="24"/>
        <v>3400</v>
      </c>
      <c r="F171" s="4">
        <f t="shared" si="25"/>
        <v>11560000</v>
      </c>
      <c r="G171" s="4">
        <f t="shared" si="26"/>
        <v>39886.484705485222</v>
      </c>
      <c r="H171" s="2">
        <f t="shared" si="27"/>
        <v>18.001764705882351</v>
      </c>
      <c r="I171" s="2">
        <f t="shared" si="28"/>
        <v>5.2946366782006919E-3</v>
      </c>
      <c r="J171" s="2">
        <f t="shared" si="29"/>
        <v>1.5345047439485913</v>
      </c>
      <c r="K171" s="1">
        <f t="shared" si="30"/>
        <v>5.8064705882352943</v>
      </c>
      <c r="L171" s="1">
        <f t="shared" si="31"/>
        <v>1.7077854671280277E-3</v>
      </c>
      <c r="M171" s="1">
        <f t="shared" si="32"/>
        <v>0.49495462299501825</v>
      </c>
      <c r="N171" s="3">
        <f t="shared" si="33"/>
        <v>8.0938235294117646</v>
      </c>
      <c r="O171" s="3">
        <f t="shared" si="34"/>
        <v>2.3805363321799306E-3</v>
      </c>
      <c r="P171" s="3">
        <f t="shared" si="35"/>
        <v>0.68993294854624188</v>
      </c>
    </row>
    <row r="172" spans="1:16" x14ac:dyDescent="0.2">
      <c r="A172" s="4">
        <v>3420</v>
      </c>
      <c r="B172" s="4">
        <v>61777</v>
      </c>
      <c r="C172" s="4">
        <v>19749</v>
      </c>
      <c r="D172" s="4">
        <v>27863</v>
      </c>
      <c r="E172" s="4">
        <f t="shared" si="24"/>
        <v>3420</v>
      </c>
      <c r="F172" s="4">
        <f t="shared" si="25"/>
        <v>11696400</v>
      </c>
      <c r="G172" s="4">
        <f t="shared" si="26"/>
        <v>40150.04968542455</v>
      </c>
      <c r="H172" s="2">
        <f t="shared" si="27"/>
        <v>18.063450292397661</v>
      </c>
      <c r="I172" s="2">
        <f t="shared" si="28"/>
        <v>5.2817106118121819E-3</v>
      </c>
      <c r="J172" s="2">
        <f t="shared" si="29"/>
        <v>1.5386531395109722</v>
      </c>
      <c r="K172" s="1">
        <f t="shared" si="30"/>
        <v>5.7745614035087716</v>
      </c>
      <c r="L172" s="1">
        <f t="shared" si="31"/>
        <v>1.6884682466399919E-3</v>
      </c>
      <c r="M172" s="1">
        <f t="shared" si="32"/>
        <v>0.49187983961995868</v>
      </c>
      <c r="N172" s="3">
        <f t="shared" si="33"/>
        <v>8.1470760233918131</v>
      </c>
      <c r="O172" s="3">
        <f t="shared" si="34"/>
        <v>2.382185971751992E-3</v>
      </c>
      <c r="P172" s="3">
        <f t="shared" si="35"/>
        <v>0.69397174395315753</v>
      </c>
    </row>
    <row r="173" spans="1:16" x14ac:dyDescent="0.2">
      <c r="A173" s="4">
        <v>3440</v>
      </c>
      <c r="B173" s="4">
        <v>62741</v>
      </c>
      <c r="C173" s="4">
        <v>19657</v>
      </c>
      <c r="D173" s="4">
        <v>28142</v>
      </c>
      <c r="E173" s="4">
        <f t="shared" si="24"/>
        <v>3440</v>
      </c>
      <c r="F173" s="4">
        <f t="shared" si="25"/>
        <v>11833600</v>
      </c>
      <c r="G173" s="4">
        <f t="shared" si="26"/>
        <v>40413.783402587746</v>
      </c>
      <c r="H173" s="2">
        <f t="shared" si="27"/>
        <v>18.238662790697674</v>
      </c>
      <c r="I173" s="2">
        <f t="shared" si="28"/>
        <v>5.3019368577609518E-3</v>
      </c>
      <c r="J173" s="2">
        <f t="shared" si="29"/>
        <v>1.5524653897160892</v>
      </c>
      <c r="K173" s="1">
        <f t="shared" si="30"/>
        <v>5.7142441860465114</v>
      </c>
      <c r="L173" s="1">
        <f t="shared" si="31"/>
        <v>1.6611174959437534E-3</v>
      </c>
      <c r="M173" s="1">
        <f t="shared" si="32"/>
        <v>0.48639346146298534</v>
      </c>
      <c r="N173" s="3">
        <f t="shared" si="33"/>
        <v>8.1808139534883715</v>
      </c>
      <c r="O173" s="3">
        <f t="shared" si="34"/>
        <v>2.3781435911303405E-3</v>
      </c>
      <c r="P173" s="3">
        <f t="shared" si="35"/>
        <v>0.69634658353214296</v>
      </c>
    </row>
    <row r="174" spans="1:16" x14ac:dyDescent="0.2">
      <c r="A174" s="4">
        <v>3460</v>
      </c>
      <c r="B174" s="4">
        <v>63471</v>
      </c>
      <c r="C174" s="4">
        <v>20083</v>
      </c>
      <c r="D174" s="4">
        <v>28472</v>
      </c>
      <c r="E174" s="4">
        <f t="shared" si="24"/>
        <v>3460</v>
      </c>
      <c r="F174" s="4">
        <f t="shared" si="25"/>
        <v>11971600</v>
      </c>
      <c r="G174" s="4">
        <f t="shared" si="26"/>
        <v>40677.684875933344</v>
      </c>
      <c r="H174" s="2">
        <f t="shared" si="27"/>
        <v>18.344219653179191</v>
      </c>
      <c r="I174" s="2">
        <f t="shared" si="28"/>
        <v>5.3017975876240436E-3</v>
      </c>
      <c r="J174" s="2">
        <f t="shared" si="29"/>
        <v>1.5603395373553364</v>
      </c>
      <c r="K174" s="1">
        <f t="shared" si="30"/>
        <v>5.8043352601156073</v>
      </c>
      <c r="L174" s="1">
        <f t="shared" si="31"/>
        <v>1.6775535433860135E-3</v>
      </c>
      <c r="M174" s="1">
        <f t="shared" si="32"/>
        <v>0.4937104965843806</v>
      </c>
      <c r="N174" s="3">
        <f t="shared" si="33"/>
        <v>8.2289017341040456</v>
      </c>
      <c r="O174" s="3">
        <f t="shared" si="34"/>
        <v>2.3782952988740018E-3</v>
      </c>
      <c r="P174" s="3">
        <f t="shared" si="35"/>
        <v>0.69994150568891522</v>
      </c>
    </row>
    <row r="175" spans="1:16" x14ac:dyDescent="0.2">
      <c r="A175" s="4">
        <v>3480</v>
      </c>
      <c r="B175" s="4">
        <v>64171</v>
      </c>
      <c r="C175" s="4">
        <v>20090</v>
      </c>
      <c r="D175" s="4">
        <v>28821</v>
      </c>
      <c r="E175" s="4">
        <f t="shared" si="24"/>
        <v>3480</v>
      </c>
      <c r="F175" s="4">
        <f t="shared" si="25"/>
        <v>12110400</v>
      </c>
      <c r="G175" s="4">
        <f t="shared" si="26"/>
        <v>40941.753135761595</v>
      </c>
      <c r="H175" s="2">
        <f t="shared" si="27"/>
        <v>18.439942528735632</v>
      </c>
      <c r="I175" s="2">
        <f t="shared" si="28"/>
        <v>5.2988340599815038E-3</v>
      </c>
      <c r="J175" s="2">
        <f t="shared" si="29"/>
        <v>1.5673730381601134</v>
      </c>
      <c r="K175" s="1">
        <f t="shared" si="30"/>
        <v>5.7729885057471266</v>
      </c>
      <c r="L175" s="1">
        <f t="shared" si="31"/>
        <v>1.6589047430307835E-3</v>
      </c>
      <c r="M175" s="1">
        <f t="shared" si="32"/>
        <v>0.49069711141538508</v>
      </c>
      <c r="N175" s="3">
        <f t="shared" si="33"/>
        <v>8.2818965517241381</v>
      </c>
      <c r="O175" s="3">
        <f t="shared" si="34"/>
        <v>2.3798553309552122E-3</v>
      </c>
      <c r="P175" s="3">
        <f t="shared" si="35"/>
        <v>0.70395129159297232</v>
      </c>
    </row>
    <row r="176" spans="1:16" x14ac:dyDescent="0.2">
      <c r="A176" s="4">
        <v>3500</v>
      </c>
      <c r="B176" s="4">
        <v>65169</v>
      </c>
      <c r="C176" s="4">
        <v>20346</v>
      </c>
      <c r="D176" s="4">
        <v>29152</v>
      </c>
      <c r="E176" s="4">
        <f t="shared" si="24"/>
        <v>3500</v>
      </c>
      <c r="F176" s="4">
        <f t="shared" si="25"/>
        <v>12250000</v>
      </c>
      <c r="G176" s="4">
        <f t="shared" si="26"/>
        <v>41205.987223518918</v>
      </c>
      <c r="H176" s="2">
        <f t="shared" si="27"/>
        <v>18.619714285714284</v>
      </c>
      <c r="I176" s="2">
        <f t="shared" si="28"/>
        <v>5.3199183673469392E-3</v>
      </c>
      <c r="J176" s="2">
        <f t="shared" si="29"/>
        <v>1.581542013457788</v>
      </c>
      <c r="K176" s="1">
        <f t="shared" si="30"/>
        <v>5.8131428571428572</v>
      </c>
      <c r="L176" s="1">
        <f t="shared" si="31"/>
        <v>1.6608979591836734E-3</v>
      </c>
      <c r="M176" s="1">
        <f t="shared" si="32"/>
        <v>0.49376319731486068</v>
      </c>
      <c r="N176" s="3">
        <f t="shared" si="33"/>
        <v>8.3291428571428572</v>
      </c>
      <c r="O176" s="3">
        <f t="shared" si="34"/>
        <v>2.3797551020408162E-3</v>
      </c>
      <c r="P176" s="3">
        <f t="shared" si="35"/>
        <v>0.70747000531420523</v>
      </c>
    </row>
    <row r="177" spans="1:16" x14ac:dyDescent="0.2">
      <c r="A177" s="4">
        <v>3520</v>
      </c>
      <c r="B177" s="4">
        <v>66167</v>
      </c>
      <c r="C177" s="4">
        <v>21022</v>
      </c>
      <c r="D177" s="4">
        <v>29479</v>
      </c>
      <c r="E177" s="4">
        <f t="shared" si="24"/>
        <v>3520</v>
      </c>
      <c r="F177" s="4">
        <f t="shared" si="25"/>
        <v>12390400</v>
      </c>
      <c r="G177" s="4">
        <f t="shared" si="26"/>
        <v>41470.386191606805</v>
      </c>
      <c r="H177" s="2">
        <f t="shared" si="27"/>
        <v>18.797443181818181</v>
      </c>
      <c r="I177" s="2">
        <f t="shared" si="28"/>
        <v>5.3401827221074378E-3</v>
      </c>
      <c r="J177" s="2">
        <f t="shared" si="29"/>
        <v>1.5955240854108936</v>
      </c>
      <c r="K177" s="1">
        <f t="shared" si="30"/>
        <v>5.9721590909090905</v>
      </c>
      <c r="L177" s="1">
        <f t="shared" si="31"/>
        <v>1.6966361053719007E-3</v>
      </c>
      <c r="M177" s="1">
        <f t="shared" si="32"/>
        <v>0.50691594485933777</v>
      </c>
      <c r="N177" s="3">
        <f t="shared" si="33"/>
        <v>8.3747159090909093</v>
      </c>
      <c r="O177" s="3">
        <f t="shared" si="34"/>
        <v>2.3791806559917356E-3</v>
      </c>
      <c r="P177" s="3">
        <f t="shared" si="35"/>
        <v>0.71084459796919508</v>
      </c>
    </row>
    <row r="178" spans="1:16" x14ac:dyDescent="0.2">
      <c r="A178" s="4">
        <v>3540</v>
      </c>
      <c r="B178" s="4">
        <v>66313</v>
      </c>
      <c r="C178" s="4">
        <v>20916</v>
      </c>
      <c r="D178" s="4">
        <v>29816</v>
      </c>
      <c r="E178" s="4">
        <f t="shared" si="24"/>
        <v>3540</v>
      </c>
      <c r="F178" s="4">
        <f t="shared" si="25"/>
        <v>12531600</v>
      </c>
      <c r="G178" s="4">
        <f t="shared" si="26"/>
        <v>41734.949103195075</v>
      </c>
      <c r="H178" s="2">
        <f t="shared" si="27"/>
        <v>18.732485875706214</v>
      </c>
      <c r="I178" s="2">
        <f t="shared" si="28"/>
        <v>5.2916626767531682E-3</v>
      </c>
      <c r="J178" s="2">
        <f t="shared" si="29"/>
        <v>1.588908131552587</v>
      </c>
      <c r="K178" s="1">
        <f t="shared" si="30"/>
        <v>5.9084745762711863</v>
      </c>
      <c r="L178" s="1">
        <f t="shared" si="31"/>
        <v>1.6690606147658719E-3</v>
      </c>
      <c r="M178" s="1">
        <f t="shared" si="32"/>
        <v>0.50116270534516472</v>
      </c>
      <c r="N178" s="3">
        <f t="shared" si="33"/>
        <v>8.4225988700564969</v>
      </c>
      <c r="O178" s="3">
        <f t="shared" si="34"/>
        <v>2.379265217530084E-3</v>
      </c>
      <c r="P178" s="3">
        <f t="shared" si="35"/>
        <v>0.71441323496707931</v>
      </c>
    </row>
    <row r="179" spans="1:16" x14ac:dyDescent="0.2">
      <c r="A179" s="4">
        <v>3560</v>
      </c>
      <c r="B179" s="4">
        <v>67138</v>
      </c>
      <c r="C179" s="4">
        <v>20892</v>
      </c>
      <c r="D179" s="4">
        <v>30156</v>
      </c>
      <c r="E179" s="4">
        <f t="shared" si="24"/>
        <v>3560</v>
      </c>
      <c r="F179" s="4">
        <f t="shared" si="25"/>
        <v>12673600</v>
      </c>
      <c r="G179" s="4">
        <f t="shared" si="26"/>
        <v>41999.675032039384</v>
      </c>
      <c r="H179" s="2">
        <f t="shared" si="27"/>
        <v>18.858988764044945</v>
      </c>
      <c r="I179" s="2">
        <f t="shared" si="28"/>
        <v>5.2974687539452088E-3</v>
      </c>
      <c r="J179" s="2">
        <f t="shared" si="29"/>
        <v>1.5985361779295646</v>
      </c>
      <c r="K179" s="1">
        <f t="shared" si="30"/>
        <v>5.868539325842697</v>
      </c>
      <c r="L179" s="1">
        <f t="shared" si="31"/>
        <v>1.6484661027648024E-3</v>
      </c>
      <c r="M179" s="1">
        <f t="shared" si="32"/>
        <v>0.49743242022855111</v>
      </c>
      <c r="N179" s="3">
        <f t="shared" si="33"/>
        <v>8.4707865168539325</v>
      </c>
      <c r="O179" s="3">
        <f t="shared" si="34"/>
        <v>2.3794344148466103E-3</v>
      </c>
      <c r="P179" s="3">
        <f t="shared" si="35"/>
        <v>0.71800555544764444</v>
      </c>
    </row>
    <row r="180" spans="1:16" x14ac:dyDescent="0.2">
      <c r="A180" s="4">
        <v>3580</v>
      </c>
      <c r="B180" s="4">
        <v>68333</v>
      </c>
      <c r="C180" s="4">
        <v>21514</v>
      </c>
      <c r="D180" s="4">
        <v>30475</v>
      </c>
      <c r="E180" s="4">
        <f t="shared" si="24"/>
        <v>3580</v>
      </c>
      <c r="F180" s="4">
        <f t="shared" si="25"/>
        <v>12816400</v>
      </c>
      <c r="G180" s="4">
        <f t="shared" si="26"/>
        <v>42264.56306230279</v>
      </c>
      <c r="H180" s="2">
        <f t="shared" si="27"/>
        <v>19.087430167597766</v>
      </c>
      <c r="I180" s="2">
        <f t="shared" si="28"/>
        <v>5.3316844043569175E-3</v>
      </c>
      <c r="J180" s="2">
        <f t="shared" si="29"/>
        <v>1.6167918239038543</v>
      </c>
      <c r="K180" s="1">
        <f t="shared" si="30"/>
        <v>6.0094972067039105</v>
      </c>
      <c r="L180" s="1">
        <f t="shared" si="31"/>
        <v>1.6786305046658967E-3</v>
      </c>
      <c r="M180" s="1">
        <f t="shared" si="32"/>
        <v>0.50903164356120068</v>
      </c>
      <c r="N180" s="3">
        <f t="shared" si="33"/>
        <v>8.5125698324022352</v>
      </c>
      <c r="O180" s="3">
        <f t="shared" si="34"/>
        <v>2.3778128023469931E-3</v>
      </c>
      <c r="P180" s="3">
        <f t="shared" si="35"/>
        <v>0.72105323684705724</v>
      </c>
    </row>
    <row r="181" spans="1:16" x14ac:dyDescent="0.2">
      <c r="A181" s="4">
        <v>3600</v>
      </c>
      <c r="B181" s="4">
        <v>68636</v>
      </c>
      <c r="C181" s="4">
        <v>21506</v>
      </c>
      <c r="D181" s="4">
        <v>30828</v>
      </c>
      <c r="E181" s="4">
        <f t="shared" si="24"/>
        <v>3600</v>
      </c>
      <c r="F181" s="4">
        <f t="shared" si="25"/>
        <v>12960000</v>
      </c>
      <c r="G181" s="4">
        <f t="shared" si="26"/>
        <v>42529.612288381337</v>
      </c>
      <c r="H181" s="2">
        <f t="shared" si="27"/>
        <v>19.065555555555555</v>
      </c>
      <c r="I181" s="2">
        <f t="shared" si="28"/>
        <v>5.2959876543209874E-3</v>
      </c>
      <c r="J181" s="2">
        <f t="shared" si="29"/>
        <v>1.6138402469930502</v>
      </c>
      <c r="K181" s="1">
        <f t="shared" si="30"/>
        <v>5.9738888888888892</v>
      </c>
      <c r="L181" s="1">
        <f t="shared" si="31"/>
        <v>1.6594135802469137E-3</v>
      </c>
      <c r="M181" s="1">
        <f t="shared" si="32"/>
        <v>0.50567119808602679</v>
      </c>
      <c r="N181" s="3">
        <f t="shared" si="33"/>
        <v>8.5633333333333326</v>
      </c>
      <c r="O181" s="3">
        <f t="shared" si="34"/>
        <v>2.3787037037037036E-3</v>
      </c>
      <c r="P181" s="3">
        <f t="shared" si="35"/>
        <v>0.7248596528687824</v>
      </c>
    </row>
    <row r="182" spans="1:16" x14ac:dyDescent="0.2">
      <c r="A182" s="4">
        <v>3620</v>
      </c>
      <c r="B182" s="4">
        <v>69351</v>
      </c>
      <c r="C182" s="4">
        <v>21610</v>
      </c>
      <c r="D182" s="4">
        <v>31220</v>
      </c>
      <c r="E182" s="4">
        <f t="shared" si="24"/>
        <v>3620</v>
      </c>
      <c r="F182" s="4">
        <f t="shared" si="25"/>
        <v>13104400</v>
      </c>
      <c r="G182" s="4">
        <f t="shared" si="26"/>
        <v>42794.821814733463</v>
      </c>
      <c r="H182" s="2">
        <f t="shared" si="27"/>
        <v>19.157734806629833</v>
      </c>
      <c r="I182" s="2">
        <f t="shared" si="28"/>
        <v>5.2921919355331032E-3</v>
      </c>
      <c r="J182" s="2">
        <f t="shared" si="29"/>
        <v>1.6205465301440685</v>
      </c>
      <c r="K182" s="1">
        <f t="shared" si="30"/>
        <v>5.9696132596685079</v>
      </c>
      <c r="L182" s="1">
        <f t="shared" si="31"/>
        <v>1.649064436372516E-3</v>
      </c>
      <c r="M182" s="1">
        <f t="shared" si="32"/>
        <v>0.50496763588720162</v>
      </c>
      <c r="N182" s="3">
        <f t="shared" si="33"/>
        <v>8.624309392265193</v>
      </c>
      <c r="O182" s="3">
        <f t="shared" si="34"/>
        <v>2.3824059094655231E-3</v>
      </c>
      <c r="P182" s="3">
        <f t="shared" si="35"/>
        <v>0.72952751468757215</v>
      </c>
    </row>
    <row r="183" spans="1:16" x14ac:dyDescent="0.2">
      <c r="A183" s="4">
        <v>3640</v>
      </c>
      <c r="B183" s="4">
        <v>70745</v>
      </c>
      <c r="C183" s="4">
        <v>22171</v>
      </c>
      <c r="D183" s="4">
        <v>31507</v>
      </c>
      <c r="E183" s="4">
        <f t="shared" si="24"/>
        <v>3640</v>
      </c>
      <c r="F183" s="4">
        <f t="shared" si="25"/>
        <v>13249600</v>
      </c>
      <c r="G183" s="4">
        <f t="shared" si="26"/>
        <v>43060.190755713251</v>
      </c>
      <c r="H183" s="2">
        <f t="shared" si="27"/>
        <v>19.435439560439562</v>
      </c>
      <c r="I183" s="2">
        <f t="shared" si="28"/>
        <v>5.339406472648231E-3</v>
      </c>
      <c r="J183" s="2">
        <f t="shared" si="29"/>
        <v>1.642932805415255</v>
      </c>
      <c r="K183" s="1">
        <f t="shared" si="30"/>
        <v>6.0909340659340661</v>
      </c>
      <c r="L183" s="1">
        <f t="shared" si="31"/>
        <v>1.6733335345972709E-3</v>
      </c>
      <c r="M183" s="1">
        <f t="shared" si="32"/>
        <v>0.5148839243601897</v>
      </c>
      <c r="N183" s="3">
        <f t="shared" si="33"/>
        <v>8.6557692307692307</v>
      </c>
      <c r="O183" s="3">
        <f t="shared" si="34"/>
        <v>2.3779585798816569E-3</v>
      </c>
      <c r="P183" s="3">
        <f t="shared" si="35"/>
        <v>0.73169671213822096</v>
      </c>
    </row>
    <row r="184" spans="1:16" x14ac:dyDescent="0.2">
      <c r="A184" s="4">
        <v>3660</v>
      </c>
      <c r="B184" s="4">
        <v>71701</v>
      </c>
      <c r="C184" s="4">
        <v>22692</v>
      </c>
      <c r="D184" s="4">
        <v>31881</v>
      </c>
      <c r="E184" s="4">
        <f t="shared" si="24"/>
        <v>3660</v>
      </c>
      <c r="F184" s="4">
        <f t="shared" si="25"/>
        <v>13395600</v>
      </c>
      <c r="G184" s="4">
        <f t="shared" si="26"/>
        <v>43325.718235407337</v>
      </c>
      <c r="H184" s="2">
        <f t="shared" si="27"/>
        <v>19.590437158469946</v>
      </c>
      <c r="I184" s="2">
        <f t="shared" si="28"/>
        <v>5.3525784585983461E-3</v>
      </c>
      <c r="J184" s="2">
        <f t="shared" si="29"/>
        <v>1.6549292872749968</v>
      </c>
      <c r="K184" s="1">
        <f t="shared" si="30"/>
        <v>6.2</v>
      </c>
      <c r="L184" s="1">
        <f t="shared" si="31"/>
        <v>1.6939890710382514E-3</v>
      </c>
      <c r="M184" s="1">
        <f t="shared" si="32"/>
        <v>0.52375357926450439</v>
      </c>
      <c r="N184" s="3">
        <f t="shared" si="33"/>
        <v>8.7106557377049185</v>
      </c>
      <c r="O184" s="3">
        <f t="shared" si="34"/>
        <v>2.379960584072382E-3</v>
      </c>
      <c r="P184" s="3">
        <f t="shared" si="35"/>
        <v>0.7358446968328779</v>
      </c>
    </row>
    <row r="185" spans="1:16" x14ac:dyDescent="0.2">
      <c r="A185" s="4">
        <v>3680</v>
      </c>
      <c r="B185" s="4">
        <v>72078</v>
      </c>
      <c r="C185" s="4">
        <v>22514</v>
      </c>
      <c r="D185" s="4">
        <v>32203</v>
      </c>
      <c r="E185" s="4">
        <f t="shared" si="24"/>
        <v>3680</v>
      </c>
      <c r="F185" s="4">
        <f t="shared" si="25"/>
        <v>13542400</v>
      </c>
      <c r="G185" s="4">
        <f t="shared" si="26"/>
        <v>43591.4033874753</v>
      </c>
      <c r="H185" s="2">
        <f t="shared" si="27"/>
        <v>19.58641304347826</v>
      </c>
      <c r="I185" s="2">
        <f t="shared" si="28"/>
        <v>5.3223948487712662E-3</v>
      </c>
      <c r="J185" s="2">
        <f t="shared" si="29"/>
        <v>1.6534911564859021</v>
      </c>
      <c r="K185" s="1">
        <f t="shared" si="30"/>
        <v>6.1179347826086961</v>
      </c>
      <c r="L185" s="1">
        <f t="shared" si="31"/>
        <v>1.6624822778827978E-3</v>
      </c>
      <c r="M185" s="1">
        <f t="shared" si="32"/>
        <v>0.51647798075867246</v>
      </c>
      <c r="N185" s="3">
        <f t="shared" si="33"/>
        <v>8.7508152173913043</v>
      </c>
      <c r="O185" s="3">
        <f t="shared" si="34"/>
        <v>2.3779389177693761E-3</v>
      </c>
      <c r="P185" s="3">
        <f t="shared" si="35"/>
        <v>0.73874657610249317</v>
      </c>
    </row>
    <row r="186" spans="1:16" x14ac:dyDescent="0.2">
      <c r="A186" s="4">
        <v>3700</v>
      </c>
      <c r="B186" s="4">
        <v>73274</v>
      </c>
      <c r="C186" s="4">
        <v>23063</v>
      </c>
      <c r="D186" s="4">
        <v>32566</v>
      </c>
      <c r="E186" s="4">
        <f t="shared" si="24"/>
        <v>3700</v>
      </c>
      <c r="F186" s="4">
        <f t="shared" si="25"/>
        <v>13690000</v>
      </c>
      <c r="G186" s="4">
        <f t="shared" si="26"/>
        <v>43857.245354993596</v>
      </c>
      <c r="H186" s="2">
        <f t="shared" si="27"/>
        <v>19.803783783783782</v>
      </c>
      <c r="I186" s="2">
        <f t="shared" si="28"/>
        <v>5.3523739956172385E-3</v>
      </c>
      <c r="J186" s="2">
        <f t="shared" si="29"/>
        <v>1.6707387663520232</v>
      </c>
      <c r="K186" s="1">
        <f t="shared" si="30"/>
        <v>6.2332432432432432</v>
      </c>
      <c r="L186" s="1">
        <f t="shared" si="31"/>
        <v>1.6846603360116874E-3</v>
      </c>
      <c r="M186" s="1">
        <f t="shared" si="32"/>
        <v>0.52586522051992124</v>
      </c>
      <c r="N186" s="3">
        <f t="shared" si="33"/>
        <v>8.8016216216216208</v>
      </c>
      <c r="O186" s="3">
        <f t="shared" si="34"/>
        <v>2.3788166544923303E-3</v>
      </c>
      <c r="P186" s="3">
        <f t="shared" si="35"/>
        <v>0.74254549587875629</v>
      </c>
    </row>
    <row r="187" spans="1:16" x14ac:dyDescent="0.2">
      <c r="A187" s="4">
        <v>3720</v>
      </c>
      <c r="B187" s="4">
        <v>73700</v>
      </c>
      <c r="C187" s="4">
        <v>23004</v>
      </c>
      <c r="D187" s="4">
        <v>32925</v>
      </c>
      <c r="E187" s="4">
        <f t="shared" si="24"/>
        <v>3720</v>
      </c>
      <c r="F187" s="4">
        <f t="shared" si="25"/>
        <v>13838400</v>
      </c>
      <c r="G187" s="4">
        <f t="shared" si="26"/>
        <v>44123.243290302868</v>
      </c>
      <c r="H187" s="2">
        <f t="shared" si="27"/>
        <v>19.811827956989248</v>
      </c>
      <c r="I187" s="2">
        <f t="shared" si="28"/>
        <v>5.3257602034917336E-3</v>
      </c>
      <c r="J187" s="2">
        <f t="shared" si="29"/>
        <v>1.6703214565416438</v>
      </c>
      <c r="K187" s="1">
        <f t="shared" si="30"/>
        <v>6.1838709677419352</v>
      </c>
      <c r="L187" s="1">
        <f t="shared" si="31"/>
        <v>1.6623309053069718E-3</v>
      </c>
      <c r="M187" s="1">
        <f t="shared" si="32"/>
        <v>0.52135786684238772</v>
      </c>
      <c r="N187" s="3">
        <f t="shared" si="33"/>
        <v>8.8508064516129039</v>
      </c>
      <c r="O187" s="3">
        <f t="shared" si="34"/>
        <v>2.379249046132501E-3</v>
      </c>
      <c r="P187" s="3">
        <f t="shared" si="35"/>
        <v>0.74620534540886874</v>
      </c>
    </row>
    <row r="188" spans="1:16" x14ac:dyDescent="0.2">
      <c r="A188" s="4">
        <v>3740</v>
      </c>
      <c r="B188" s="4">
        <v>74472</v>
      </c>
      <c r="C188" s="4">
        <v>23031</v>
      </c>
      <c r="D188" s="4">
        <v>33284</v>
      </c>
      <c r="E188" s="4">
        <f t="shared" si="24"/>
        <v>3740</v>
      </c>
      <c r="F188" s="4">
        <f t="shared" si="25"/>
        <v>13987600</v>
      </c>
      <c r="G188" s="4">
        <f t="shared" si="26"/>
        <v>44389.396354858502</v>
      </c>
      <c r="H188" s="2">
        <f t="shared" si="27"/>
        <v>19.912299465240643</v>
      </c>
      <c r="I188" s="2">
        <f t="shared" si="28"/>
        <v>5.3241442420429519E-3</v>
      </c>
      <c r="J188" s="2">
        <f t="shared" si="29"/>
        <v>1.6776979665290921</v>
      </c>
      <c r="K188" s="1">
        <f t="shared" si="30"/>
        <v>6.1580213903743317</v>
      </c>
      <c r="L188" s="1">
        <f t="shared" si="31"/>
        <v>1.6465297835225486E-3</v>
      </c>
      <c r="M188" s="1">
        <f t="shared" si="32"/>
        <v>0.51884012604913954</v>
      </c>
      <c r="N188" s="3">
        <f t="shared" si="33"/>
        <v>8.8994652406417121</v>
      </c>
      <c r="O188" s="3">
        <f t="shared" si="34"/>
        <v>2.3795361605993882E-3</v>
      </c>
      <c r="P188" s="3">
        <f t="shared" si="35"/>
        <v>0.74981871197167127</v>
      </c>
    </row>
    <row r="189" spans="1:16" x14ac:dyDescent="0.2">
      <c r="A189" s="4">
        <v>3760</v>
      </c>
      <c r="B189" s="4">
        <v>75979</v>
      </c>
      <c r="C189" s="4">
        <v>24220</v>
      </c>
      <c r="D189" s="4">
        <v>33670</v>
      </c>
      <c r="E189" s="4">
        <f t="shared" si="24"/>
        <v>3760</v>
      </c>
      <c r="F189" s="4">
        <f t="shared" si="25"/>
        <v>14137600</v>
      </c>
      <c r="G189" s="4">
        <f t="shared" si="26"/>
        <v>44655.703719084406</v>
      </c>
      <c r="H189" s="2">
        <f t="shared" si="27"/>
        <v>20.207180851063828</v>
      </c>
      <c r="I189" s="2">
        <f t="shared" si="28"/>
        <v>5.3742502263467631E-3</v>
      </c>
      <c r="J189" s="2">
        <f t="shared" si="29"/>
        <v>1.7014399880015558</v>
      </c>
      <c r="K189" s="1">
        <f t="shared" si="30"/>
        <v>6.4414893617021276</v>
      </c>
      <c r="L189" s="1">
        <f t="shared" si="31"/>
        <v>1.7131620642824807E-3</v>
      </c>
      <c r="M189" s="1">
        <f t="shared" si="32"/>
        <v>0.54237192526089684</v>
      </c>
      <c r="N189" s="3">
        <f t="shared" si="33"/>
        <v>8.9547872340425538</v>
      </c>
      <c r="O189" s="3">
        <f t="shared" si="34"/>
        <v>2.3815923494794025E-3</v>
      </c>
      <c r="P189" s="3">
        <f t="shared" si="35"/>
        <v>0.75399102904766291</v>
      </c>
    </row>
    <row r="190" spans="1:16" x14ac:dyDescent="0.2">
      <c r="A190" s="4">
        <v>3780</v>
      </c>
      <c r="B190" s="4">
        <v>76424</v>
      </c>
      <c r="C190" s="4">
        <v>23744</v>
      </c>
      <c r="D190" s="4">
        <v>33965</v>
      </c>
      <c r="E190" s="4">
        <f t="shared" si="24"/>
        <v>3780</v>
      </c>
      <c r="F190" s="4">
        <f t="shared" si="25"/>
        <v>14288400</v>
      </c>
      <c r="G190" s="4">
        <f t="shared" si="26"/>
        <v>44922.164562229889</v>
      </c>
      <c r="H190" s="2">
        <f t="shared" si="27"/>
        <v>20.217989417989418</v>
      </c>
      <c r="I190" s="2">
        <f t="shared" si="28"/>
        <v>5.3486744492035497E-3</v>
      </c>
      <c r="J190" s="2">
        <f t="shared" si="29"/>
        <v>1.7012537295287979</v>
      </c>
      <c r="K190" s="1">
        <f t="shared" si="30"/>
        <v>6.2814814814814817</v>
      </c>
      <c r="L190" s="1">
        <f t="shared" si="31"/>
        <v>1.6617675876935136E-3</v>
      </c>
      <c r="M190" s="1">
        <f t="shared" si="32"/>
        <v>0.52855867991641081</v>
      </c>
      <c r="N190" s="3">
        <f t="shared" si="33"/>
        <v>8.9854497354497358</v>
      </c>
      <c r="O190" s="3">
        <f t="shared" si="34"/>
        <v>2.3771031046163323E-3</v>
      </c>
      <c r="P190" s="3">
        <f t="shared" si="35"/>
        <v>0.75608556112537451</v>
      </c>
    </row>
    <row r="191" spans="1:16" x14ac:dyDescent="0.2">
      <c r="A191" s="4">
        <v>3800</v>
      </c>
      <c r="B191" s="4">
        <v>77137</v>
      </c>
      <c r="C191" s="4">
        <v>24024</v>
      </c>
      <c r="D191" s="4">
        <v>34343</v>
      </c>
      <c r="E191" s="4">
        <f t="shared" si="24"/>
        <v>3800</v>
      </c>
      <c r="F191" s="4">
        <f t="shared" si="25"/>
        <v>14440000</v>
      </c>
      <c r="G191" s="4">
        <f t="shared" si="26"/>
        <v>45188.778072229579</v>
      </c>
      <c r="H191" s="2">
        <f t="shared" si="27"/>
        <v>20.29921052631579</v>
      </c>
      <c r="I191" s="2">
        <f t="shared" si="28"/>
        <v>5.3418975069252075E-3</v>
      </c>
      <c r="J191" s="2">
        <f t="shared" si="29"/>
        <v>1.7069945966829307</v>
      </c>
      <c r="K191" s="1">
        <f t="shared" si="30"/>
        <v>6.3221052631578951</v>
      </c>
      <c r="L191" s="1">
        <f t="shared" si="31"/>
        <v>1.6637119113573407E-3</v>
      </c>
      <c r="M191" s="1">
        <f t="shared" si="32"/>
        <v>0.53163641560743524</v>
      </c>
      <c r="N191" s="3">
        <f t="shared" si="33"/>
        <v>9.0376315789473676</v>
      </c>
      <c r="O191" s="3">
        <f t="shared" si="34"/>
        <v>2.3783240997229918E-3</v>
      </c>
      <c r="P191" s="3">
        <f t="shared" si="35"/>
        <v>0.7599895696472756</v>
      </c>
    </row>
    <row r="192" spans="1:16" x14ac:dyDescent="0.2">
      <c r="A192" s="4">
        <v>3820</v>
      </c>
      <c r="B192" s="4">
        <v>78139</v>
      </c>
      <c r="C192" s="4">
        <v>24507</v>
      </c>
      <c r="D192" s="4">
        <v>34713</v>
      </c>
      <c r="E192" s="4">
        <f t="shared" si="24"/>
        <v>3820</v>
      </c>
      <c r="F192" s="4">
        <f t="shared" si="25"/>
        <v>14592400</v>
      </c>
      <c r="G192" s="4">
        <f t="shared" si="26"/>
        <v>45455.543445566283</v>
      </c>
      <c r="H192" s="2">
        <f t="shared" si="27"/>
        <v>20.455235602094241</v>
      </c>
      <c r="I192" s="2">
        <f t="shared" si="28"/>
        <v>5.3547737178257174E-3</v>
      </c>
      <c r="J192" s="2">
        <f t="shared" si="29"/>
        <v>1.719020257530804</v>
      </c>
      <c r="K192" s="1">
        <f t="shared" si="30"/>
        <v>6.41544502617801</v>
      </c>
      <c r="L192" s="1">
        <f t="shared" si="31"/>
        <v>1.6794358707272279E-3</v>
      </c>
      <c r="M192" s="1">
        <f t="shared" si="32"/>
        <v>0.53914216270117887</v>
      </c>
      <c r="N192" s="3">
        <f t="shared" si="33"/>
        <v>9.08717277486911</v>
      </c>
      <c r="O192" s="3">
        <f t="shared" si="34"/>
        <v>2.3788410405416517E-3</v>
      </c>
      <c r="P192" s="3">
        <f t="shared" si="35"/>
        <v>0.76366923302917622</v>
      </c>
    </row>
    <row r="193" spans="1:16" x14ac:dyDescent="0.2">
      <c r="A193" s="4">
        <v>3840</v>
      </c>
      <c r="B193" s="4">
        <v>78684</v>
      </c>
      <c r="C193" s="4">
        <v>24607</v>
      </c>
      <c r="D193" s="4">
        <v>35047</v>
      </c>
      <c r="E193" s="4">
        <f t="shared" si="24"/>
        <v>3840</v>
      </c>
      <c r="F193" s="4">
        <f t="shared" si="25"/>
        <v>14745600</v>
      </c>
      <c r="G193" s="4">
        <f t="shared" si="26"/>
        <v>45722.459887136705</v>
      </c>
      <c r="H193" s="2">
        <f t="shared" si="27"/>
        <v>20.490625000000001</v>
      </c>
      <c r="I193" s="2">
        <f t="shared" si="28"/>
        <v>5.3361002604166664E-3</v>
      </c>
      <c r="J193" s="2">
        <f t="shared" si="29"/>
        <v>1.7209047849618544</v>
      </c>
      <c r="K193" s="1">
        <f t="shared" si="30"/>
        <v>6.4080729166666668</v>
      </c>
      <c r="L193" s="1">
        <f t="shared" si="31"/>
        <v>1.6687689887152778E-3</v>
      </c>
      <c r="M193" s="1">
        <f t="shared" si="32"/>
        <v>0.53818189267902428</v>
      </c>
      <c r="N193" s="3">
        <f t="shared" si="33"/>
        <v>9.1268229166666668</v>
      </c>
      <c r="O193" s="3">
        <f t="shared" si="34"/>
        <v>2.3767768012152779E-3</v>
      </c>
      <c r="P193" s="3">
        <f t="shared" si="35"/>
        <v>0.766516064238703</v>
      </c>
    </row>
    <row r="194" spans="1:16" x14ac:dyDescent="0.2">
      <c r="A194" s="4">
        <v>3860</v>
      </c>
      <c r="B194" s="4">
        <v>79932</v>
      </c>
      <c r="C194" s="4">
        <v>25251</v>
      </c>
      <c r="D194" s="4">
        <v>35434</v>
      </c>
      <c r="E194" s="4">
        <f t="shared" si="24"/>
        <v>3860</v>
      </c>
      <c r="F194" s="4">
        <f t="shared" si="25"/>
        <v>14899600</v>
      </c>
      <c r="G194" s="4">
        <f t="shared" si="26"/>
        <v>45989.52661012001</v>
      </c>
      <c r="H194" s="2">
        <f t="shared" si="27"/>
        <v>20.70777202072539</v>
      </c>
      <c r="I194" s="2">
        <f t="shared" si="28"/>
        <v>5.3647077773899968E-3</v>
      </c>
      <c r="J194" s="2">
        <f t="shared" si="29"/>
        <v>1.7380478968098563</v>
      </c>
      <c r="K194" s="1">
        <f t="shared" si="30"/>
        <v>6.5417098445595858</v>
      </c>
      <c r="L194" s="1">
        <f t="shared" si="31"/>
        <v>1.6947434830465247E-3</v>
      </c>
      <c r="M194" s="1">
        <f t="shared" si="32"/>
        <v>0.54905979385409698</v>
      </c>
      <c r="N194" s="3">
        <f t="shared" si="33"/>
        <v>9.1797927461139892</v>
      </c>
      <c r="O194" s="3">
        <f t="shared" si="34"/>
        <v>2.3781846492523287E-3</v>
      </c>
      <c r="P194" s="3">
        <f t="shared" si="35"/>
        <v>0.77047977250113153</v>
      </c>
    </row>
    <row r="195" spans="1:16" x14ac:dyDescent="0.2">
      <c r="A195" s="4">
        <v>3880</v>
      </c>
      <c r="B195" s="4">
        <v>80636</v>
      </c>
      <c r="C195" s="4">
        <v>25229</v>
      </c>
      <c r="D195" s="4">
        <v>35797</v>
      </c>
      <c r="E195" s="4">
        <f t="shared" ref="E195:E251" si="36">A195</f>
        <v>3880</v>
      </c>
      <c r="F195" s="4">
        <f t="shared" ref="F195:F251" si="37">A195 * A195</f>
        <v>15054400</v>
      </c>
      <c r="G195" s="4">
        <f t="shared" ref="G195:G251" si="38">A195 * LOG(A195, 2)</f>
        <v>46256.742835849022</v>
      </c>
      <c r="H195" s="2">
        <f t="shared" ref="H195:H251" si="39">B195/E195</f>
        <v>20.782474226804123</v>
      </c>
      <c r="I195" s="2">
        <f t="shared" ref="I195:I251" si="40">B195/F195</f>
        <v>5.3563077904134337E-3</v>
      </c>
      <c r="J195" s="2">
        <f t="shared" ref="J195:J251" si="41">B195/G195</f>
        <v>1.7432269342040014</v>
      </c>
      <c r="K195" s="1">
        <f t="shared" ref="K195:K251" si="42">C195/E195</f>
        <v>6.5023195876288664</v>
      </c>
      <c r="L195" s="1">
        <f t="shared" ref="L195:L251" si="43">C195/F195</f>
        <v>1.6758555638218726E-3</v>
      </c>
      <c r="M195" s="1">
        <f t="shared" ref="M195:M251" si="44">C195/G195</f>
        <v>0.54541237565148015</v>
      </c>
      <c r="N195" s="3">
        <f t="shared" ref="N195:N251" si="45">D195/E195</f>
        <v>9.2260309278350512</v>
      </c>
      <c r="O195" s="3">
        <f t="shared" ref="O195:O251" si="46">D195/F195</f>
        <v>2.3778430226378999E-3</v>
      </c>
      <c r="P195" s="3">
        <f t="shared" ref="P195:P251" si="47">D195/G195</f>
        <v>0.77387636494494572</v>
      </c>
    </row>
    <row r="196" spans="1:16" x14ac:dyDescent="0.2">
      <c r="A196" s="4">
        <v>3900</v>
      </c>
      <c r="B196" s="4">
        <v>81464</v>
      </c>
      <c r="C196" s="4">
        <v>25426</v>
      </c>
      <c r="D196" s="4">
        <v>36152</v>
      </c>
      <c r="E196" s="4">
        <f t="shared" si="36"/>
        <v>3900</v>
      </c>
      <c r="F196" s="4">
        <f t="shared" si="37"/>
        <v>15210000</v>
      </c>
      <c r="G196" s="4">
        <f t="shared" si="38"/>
        <v>46524.10779368419</v>
      </c>
      <c r="H196" s="2">
        <f t="shared" si="39"/>
        <v>20.888205128205129</v>
      </c>
      <c r="I196" s="2">
        <f t="shared" si="40"/>
        <v>5.3559500328731096E-3</v>
      </c>
      <c r="J196" s="2">
        <f t="shared" si="41"/>
        <v>1.751006174288398</v>
      </c>
      <c r="K196" s="1">
        <f t="shared" si="42"/>
        <v>6.5194871794871796</v>
      </c>
      <c r="L196" s="1">
        <f t="shared" si="43"/>
        <v>1.6716633793556872E-3</v>
      </c>
      <c r="M196" s="1">
        <f t="shared" si="44"/>
        <v>0.54651236113444968</v>
      </c>
      <c r="N196" s="3">
        <f t="shared" si="45"/>
        <v>9.2697435897435891</v>
      </c>
      <c r="O196" s="3">
        <f t="shared" si="46"/>
        <v>2.3768573307034846E-3</v>
      </c>
      <c r="P196" s="3">
        <f t="shared" si="47"/>
        <v>0.77705950128736823</v>
      </c>
    </row>
    <row r="197" spans="1:16" x14ac:dyDescent="0.2">
      <c r="A197" s="4">
        <v>3920</v>
      </c>
      <c r="B197" s="4">
        <v>82417</v>
      </c>
      <c r="C197" s="4">
        <v>25884</v>
      </c>
      <c r="D197" s="4">
        <v>36528</v>
      </c>
      <c r="E197" s="4">
        <f t="shared" si="36"/>
        <v>3920</v>
      </c>
      <c r="F197" s="4">
        <f t="shared" si="37"/>
        <v>15366400</v>
      </c>
      <c r="G197" s="4">
        <f t="shared" si="38"/>
        <v>46791.620720890081</v>
      </c>
      <c r="H197" s="2">
        <f t="shared" si="39"/>
        <v>21.024744897959184</v>
      </c>
      <c r="I197" s="2">
        <f t="shared" si="40"/>
        <v>5.3634553311120367E-3</v>
      </c>
      <c r="J197" s="2">
        <f t="shared" si="41"/>
        <v>1.7613623706606298</v>
      </c>
      <c r="K197" s="1">
        <f t="shared" si="42"/>
        <v>6.6030612244897959</v>
      </c>
      <c r="L197" s="1">
        <f t="shared" si="43"/>
        <v>1.684454394002499E-3</v>
      </c>
      <c r="M197" s="1">
        <f t="shared" si="44"/>
        <v>0.55317596614994169</v>
      </c>
      <c r="N197" s="3">
        <f t="shared" si="45"/>
        <v>9.3183673469387749</v>
      </c>
      <c r="O197" s="3">
        <f t="shared" si="46"/>
        <v>2.3771345272803001E-3</v>
      </c>
      <c r="P197" s="3">
        <f t="shared" si="47"/>
        <v>0.7806525920076135</v>
      </c>
    </row>
    <row r="198" spans="1:16" x14ac:dyDescent="0.2">
      <c r="A198" s="4">
        <v>3940</v>
      </c>
      <c r="B198" s="4">
        <v>83134</v>
      </c>
      <c r="C198" s="4">
        <v>25860</v>
      </c>
      <c r="D198" s="4">
        <v>36901</v>
      </c>
      <c r="E198" s="4">
        <f t="shared" si="36"/>
        <v>3940</v>
      </c>
      <c r="F198" s="4">
        <f t="shared" si="37"/>
        <v>15523600</v>
      </c>
      <c r="G198" s="4">
        <f t="shared" si="38"/>
        <v>47059.28086251433</v>
      </c>
      <c r="H198" s="2">
        <f t="shared" si="39"/>
        <v>21.1</v>
      </c>
      <c r="I198" s="2">
        <f t="shared" si="40"/>
        <v>5.3553299492385791E-3</v>
      </c>
      <c r="J198" s="2">
        <f t="shared" si="41"/>
        <v>1.7665803317921385</v>
      </c>
      <c r="K198" s="1">
        <f t="shared" si="42"/>
        <v>6.563451776649746</v>
      </c>
      <c r="L198" s="1">
        <f t="shared" si="43"/>
        <v>1.665850704733438E-3</v>
      </c>
      <c r="M198" s="1">
        <f t="shared" si="44"/>
        <v>0.54951965958746962</v>
      </c>
      <c r="N198" s="3">
        <f t="shared" si="45"/>
        <v>9.3657360406091374</v>
      </c>
      <c r="O198" s="3">
        <f t="shared" si="46"/>
        <v>2.3770903656368369E-3</v>
      </c>
      <c r="P198" s="3">
        <f t="shared" si="47"/>
        <v>0.7841386294832644</v>
      </c>
    </row>
    <row r="199" spans="1:16" x14ac:dyDescent="0.2">
      <c r="A199" s="4">
        <v>3960</v>
      </c>
      <c r="B199" s="4">
        <v>83940</v>
      </c>
      <c r="C199" s="4">
        <v>26219</v>
      </c>
      <c r="D199" s="4">
        <v>37290</v>
      </c>
      <c r="E199" s="4">
        <f t="shared" si="36"/>
        <v>3960</v>
      </c>
      <c r="F199" s="4">
        <f t="shared" si="37"/>
        <v>15681600</v>
      </c>
      <c r="G199" s="4">
        <f t="shared" si="38"/>
        <v>47327.087471269209</v>
      </c>
      <c r="H199" s="2">
        <f t="shared" si="39"/>
        <v>21.196969696969695</v>
      </c>
      <c r="I199" s="2">
        <f t="shared" si="40"/>
        <v>5.3527701254973978E-3</v>
      </c>
      <c r="J199" s="2">
        <f t="shared" si="41"/>
        <v>1.773614318670198</v>
      </c>
      <c r="K199" s="1">
        <f t="shared" si="42"/>
        <v>6.6209595959595964</v>
      </c>
      <c r="L199" s="1">
        <f t="shared" si="43"/>
        <v>1.6719594939291909E-3</v>
      </c>
      <c r="M199" s="1">
        <f t="shared" si="44"/>
        <v>0.55399563761274628</v>
      </c>
      <c r="N199" s="3">
        <f t="shared" si="45"/>
        <v>9.4166666666666661</v>
      </c>
      <c r="O199" s="3">
        <f t="shared" si="46"/>
        <v>2.3779461279461278E-3</v>
      </c>
      <c r="P199" s="3">
        <f t="shared" si="47"/>
        <v>0.78792087137493072</v>
      </c>
    </row>
    <row r="200" spans="1:16" x14ac:dyDescent="0.2">
      <c r="A200" s="4">
        <v>3980</v>
      </c>
      <c r="B200" s="4">
        <v>85189</v>
      </c>
      <c r="C200" s="4">
        <v>26622</v>
      </c>
      <c r="D200" s="4">
        <v>37653</v>
      </c>
      <c r="E200" s="4">
        <f t="shared" si="36"/>
        <v>3980</v>
      </c>
      <c r="F200" s="4">
        <f t="shared" si="37"/>
        <v>15840400</v>
      </c>
      <c r="G200" s="4">
        <f t="shared" si="38"/>
        <v>47595.039807415422</v>
      </c>
      <c r="H200" s="2">
        <f t="shared" si="39"/>
        <v>21.404271356783919</v>
      </c>
      <c r="I200" s="2">
        <f t="shared" si="40"/>
        <v>5.3779576273326433E-3</v>
      </c>
      <c r="J200" s="2">
        <f t="shared" si="41"/>
        <v>1.7898713887981106</v>
      </c>
      <c r="K200" s="1">
        <f t="shared" si="42"/>
        <v>6.6889447236180901</v>
      </c>
      <c r="L200" s="1">
        <f t="shared" si="43"/>
        <v>1.6806393777934901E-3</v>
      </c>
      <c r="M200" s="1">
        <f t="shared" si="44"/>
        <v>0.55934400113375315</v>
      </c>
      <c r="N200" s="3">
        <f t="shared" si="45"/>
        <v>9.4605527638190949</v>
      </c>
      <c r="O200" s="3">
        <f t="shared" si="46"/>
        <v>2.377023307492235E-3</v>
      </c>
      <c r="P200" s="3">
        <f t="shared" si="47"/>
        <v>0.79111185014984631</v>
      </c>
    </row>
    <row r="201" spans="1:16" x14ac:dyDescent="0.2">
      <c r="A201" s="4">
        <v>4000</v>
      </c>
      <c r="B201" s="4">
        <v>85402</v>
      </c>
      <c r="C201" s="4">
        <v>26797</v>
      </c>
      <c r="D201" s="4">
        <v>38045</v>
      </c>
      <c r="E201" s="4">
        <f t="shared" si="36"/>
        <v>4000</v>
      </c>
      <c r="F201" s="4">
        <f t="shared" si="37"/>
        <v>16000000</v>
      </c>
      <c r="G201" s="4">
        <f t="shared" si="38"/>
        <v>47863.137138648352</v>
      </c>
      <c r="H201" s="2">
        <f t="shared" si="39"/>
        <v>21.3505</v>
      </c>
      <c r="I201" s="2">
        <f t="shared" si="40"/>
        <v>5.3376250000000004E-3</v>
      </c>
      <c r="J201" s="2">
        <f t="shared" si="41"/>
        <v>1.7842959134210177</v>
      </c>
      <c r="K201" s="1">
        <f t="shared" si="42"/>
        <v>6.6992500000000001</v>
      </c>
      <c r="L201" s="1">
        <f t="shared" si="43"/>
        <v>1.6748125000000001E-3</v>
      </c>
      <c r="M201" s="1">
        <f t="shared" si="44"/>
        <v>0.55986718802771618</v>
      </c>
      <c r="N201" s="3">
        <f t="shared" si="45"/>
        <v>9.5112500000000004</v>
      </c>
      <c r="O201" s="3">
        <f t="shared" si="46"/>
        <v>2.3778125000000002E-3</v>
      </c>
      <c r="P201" s="3">
        <f t="shared" si="47"/>
        <v>0.7948705888164519</v>
      </c>
    </row>
    <row r="202" spans="1:16" x14ac:dyDescent="0.2">
      <c r="A202" s="4">
        <v>4020</v>
      </c>
      <c r="B202" s="4">
        <v>86586</v>
      </c>
      <c r="C202" s="4">
        <v>26992</v>
      </c>
      <c r="D202" s="4">
        <v>38421</v>
      </c>
      <c r="E202" s="4">
        <f t="shared" si="36"/>
        <v>4020</v>
      </c>
      <c r="F202" s="4">
        <f t="shared" si="37"/>
        <v>16160400</v>
      </c>
      <c r="G202" s="4">
        <f t="shared" si="38"/>
        <v>48131.378739986489</v>
      </c>
      <c r="H202" s="2">
        <f t="shared" si="39"/>
        <v>21.538805970149255</v>
      </c>
      <c r="I202" s="2">
        <f t="shared" si="40"/>
        <v>5.357911932872949E-3</v>
      </c>
      <c r="J202" s="2">
        <f t="shared" si="41"/>
        <v>1.7989511679636607</v>
      </c>
      <c r="K202" s="1">
        <f t="shared" si="42"/>
        <v>6.7144278606965173</v>
      </c>
      <c r="L202" s="1">
        <f t="shared" si="43"/>
        <v>1.6702556867404272E-3</v>
      </c>
      <c r="M202" s="1">
        <f t="shared" si="44"/>
        <v>0.56079839611109339</v>
      </c>
      <c r="N202" s="3">
        <f t="shared" si="45"/>
        <v>9.557462686567165</v>
      </c>
      <c r="O202" s="3">
        <f t="shared" si="46"/>
        <v>2.3774782802405883E-3</v>
      </c>
      <c r="P202" s="3">
        <f t="shared" si="47"/>
        <v>0.79825263696592763</v>
      </c>
    </row>
    <row r="203" spans="1:16" x14ac:dyDescent="0.2">
      <c r="A203" s="4">
        <v>4040</v>
      </c>
      <c r="B203" s="4">
        <v>86998</v>
      </c>
      <c r="C203" s="4">
        <v>26825</v>
      </c>
      <c r="D203" s="4">
        <v>38805</v>
      </c>
      <c r="E203" s="4">
        <f t="shared" si="36"/>
        <v>4040</v>
      </c>
      <c r="F203" s="4">
        <f t="shared" si="37"/>
        <v>16321600</v>
      </c>
      <c r="G203" s="4">
        <f t="shared" si="38"/>
        <v>48399.763893662202</v>
      </c>
      <c r="H203" s="2">
        <f t="shared" si="39"/>
        <v>21.534158415841585</v>
      </c>
      <c r="I203" s="2">
        <f t="shared" si="40"/>
        <v>5.3302372316439564E-3</v>
      </c>
      <c r="J203" s="2">
        <f t="shared" si="41"/>
        <v>1.7974881074036007</v>
      </c>
      <c r="K203" s="1">
        <f t="shared" si="42"/>
        <v>6.6398514851485144</v>
      </c>
      <c r="L203" s="1">
        <f t="shared" si="43"/>
        <v>1.6435275953337908E-3</v>
      </c>
      <c r="M203" s="1">
        <f t="shared" si="44"/>
        <v>0.55423824089176288</v>
      </c>
      <c r="N203" s="3">
        <f t="shared" si="45"/>
        <v>9.6051980198019802</v>
      </c>
      <c r="O203" s="3">
        <f t="shared" si="46"/>
        <v>2.3775242623272227E-3</v>
      </c>
      <c r="P203" s="3">
        <f t="shared" si="47"/>
        <v>0.80176010951742249</v>
      </c>
    </row>
    <row r="204" spans="1:16" x14ac:dyDescent="0.2">
      <c r="A204" s="4">
        <v>4060</v>
      </c>
      <c r="B204" s="4">
        <v>88415</v>
      </c>
      <c r="C204" s="4">
        <v>27439</v>
      </c>
      <c r="D204" s="4">
        <v>39191</v>
      </c>
      <c r="E204" s="4">
        <f t="shared" si="36"/>
        <v>4060</v>
      </c>
      <c r="F204" s="4">
        <f t="shared" si="37"/>
        <v>16483600</v>
      </c>
      <c r="G204" s="4">
        <f t="shared" si="38"/>
        <v>48668.291889014516</v>
      </c>
      <c r="H204" s="2">
        <f t="shared" si="39"/>
        <v>21.777093596059114</v>
      </c>
      <c r="I204" s="2">
        <f t="shared" si="40"/>
        <v>5.3638161566648065E-3</v>
      </c>
      <c r="J204" s="2">
        <f t="shared" si="41"/>
        <v>1.8166859071533836</v>
      </c>
      <c r="K204" s="1">
        <f t="shared" si="42"/>
        <v>6.7583743842364532</v>
      </c>
      <c r="L204" s="1">
        <f t="shared" si="43"/>
        <v>1.664624232570555E-3</v>
      </c>
      <c r="M204" s="1">
        <f t="shared" si="44"/>
        <v>0.56379624052911492</v>
      </c>
      <c r="N204" s="3">
        <f t="shared" si="45"/>
        <v>9.6529556650246313</v>
      </c>
      <c r="O204" s="3">
        <f t="shared" si="46"/>
        <v>2.3775752869518796E-3</v>
      </c>
      <c r="P204" s="3">
        <f t="shared" si="47"/>
        <v>0.8052676286517928</v>
      </c>
    </row>
    <row r="205" spans="1:16" x14ac:dyDescent="0.2">
      <c r="A205" s="4">
        <v>4080</v>
      </c>
      <c r="B205" s="4">
        <v>89720</v>
      </c>
      <c r="C205" s="4">
        <v>28184</v>
      </c>
      <c r="D205" s="4">
        <v>39571</v>
      </c>
      <c r="E205" s="4">
        <f t="shared" si="36"/>
        <v>4080</v>
      </c>
      <c r="F205" s="4">
        <f t="shared" si="37"/>
        <v>16646400</v>
      </c>
      <c r="G205" s="4">
        <f t="shared" si="38"/>
        <v>48936.962022384141</v>
      </c>
      <c r="H205" s="2">
        <f t="shared" si="39"/>
        <v>21.990196078431371</v>
      </c>
      <c r="I205" s="2">
        <f t="shared" si="40"/>
        <v>5.3897539407920031E-3</v>
      </c>
      <c r="J205" s="2">
        <f t="shared" si="41"/>
        <v>1.8333790307408413</v>
      </c>
      <c r="K205" s="1">
        <f t="shared" si="42"/>
        <v>6.9078431372549023</v>
      </c>
      <c r="L205" s="1">
        <f t="shared" si="43"/>
        <v>1.6930988081507114E-3</v>
      </c>
      <c r="M205" s="1">
        <f t="shared" si="44"/>
        <v>0.57592459432010557</v>
      </c>
      <c r="N205" s="3">
        <f t="shared" si="45"/>
        <v>9.698774509803922</v>
      </c>
      <c r="O205" s="3">
        <f t="shared" si="46"/>
        <v>2.3771506151480199E-3</v>
      </c>
      <c r="P205" s="3">
        <f t="shared" si="47"/>
        <v>0.80861169890153628</v>
      </c>
    </row>
    <row r="206" spans="1:16" x14ac:dyDescent="0.2">
      <c r="A206" s="4">
        <v>4100</v>
      </c>
      <c r="B206" s="4">
        <v>90301</v>
      </c>
      <c r="C206" s="4">
        <v>28416</v>
      </c>
      <c r="D206" s="4">
        <v>39979</v>
      </c>
      <c r="E206" s="4">
        <f t="shared" si="36"/>
        <v>4100</v>
      </c>
      <c r="F206" s="4">
        <f t="shared" si="37"/>
        <v>16810000</v>
      </c>
      <c r="G206" s="4">
        <f t="shared" si="38"/>
        <v>49205.77359701052</v>
      </c>
      <c r="H206" s="2">
        <f t="shared" si="39"/>
        <v>22.024634146341462</v>
      </c>
      <c r="I206" s="2">
        <f t="shared" si="40"/>
        <v>5.371861986912552E-3</v>
      </c>
      <c r="J206" s="2">
        <f t="shared" si="41"/>
        <v>1.8351708224232899</v>
      </c>
      <c r="K206" s="1">
        <f t="shared" si="42"/>
        <v>6.9307317073170731</v>
      </c>
      <c r="L206" s="1">
        <f t="shared" si="43"/>
        <v>1.6904223676383104E-3</v>
      </c>
      <c r="M206" s="1">
        <f t="shared" si="44"/>
        <v>0.57749320705175144</v>
      </c>
      <c r="N206" s="3">
        <f t="shared" si="45"/>
        <v>9.7509756097560967</v>
      </c>
      <c r="O206" s="3">
        <f t="shared" si="46"/>
        <v>2.3782867340868532E-3</v>
      </c>
      <c r="P206" s="3">
        <f t="shared" si="47"/>
        <v>0.81248595596572248</v>
      </c>
    </row>
    <row r="207" spans="1:16" x14ac:dyDescent="0.2">
      <c r="A207" s="4">
        <v>4120</v>
      </c>
      <c r="B207" s="4">
        <v>91699</v>
      </c>
      <c r="C207" s="4">
        <v>28867</v>
      </c>
      <c r="D207" s="4">
        <v>40353</v>
      </c>
      <c r="E207" s="4">
        <f t="shared" si="36"/>
        <v>4120</v>
      </c>
      <c r="F207" s="4">
        <f t="shared" si="37"/>
        <v>16974400</v>
      </c>
      <c r="G207" s="4">
        <f t="shared" si="38"/>
        <v>49474.725922930789</v>
      </c>
      <c r="H207" s="2">
        <f t="shared" si="39"/>
        <v>22.257038834951455</v>
      </c>
      <c r="I207" s="2">
        <f t="shared" si="40"/>
        <v>5.4021938919785089E-3</v>
      </c>
      <c r="J207" s="2">
        <f t="shared" si="41"/>
        <v>1.8534513994649315</v>
      </c>
      <c r="K207" s="1">
        <f t="shared" si="42"/>
        <v>7.0065533980582524</v>
      </c>
      <c r="L207" s="1">
        <f t="shared" si="43"/>
        <v>1.7006197568102555E-3</v>
      </c>
      <c r="M207" s="1">
        <f t="shared" si="44"/>
        <v>0.58346962942184954</v>
      </c>
      <c r="N207" s="3">
        <f t="shared" si="45"/>
        <v>9.7944174757281548</v>
      </c>
      <c r="O207" s="3">
        <f t="shared" si="46"/>
        <v>2.3772857950796495E-3</v>
      </c>
      <c r="P207" s="3">
        <f t="shared" si="47"/>
        <v>0.81562857089617535</v>
      </c>
    </row>
    <row r="208" spans="1:16" x14ac:dyDescent="0.2">
      <c r="A208" s="4">
        <v>4140</v>
      </c>
      <c r="B208" s="4">
        <v>92863</v>
      </c>
      <c r="C208" s="4">
        <v>29174</v>
      </c>
      <c r="D208" s="4">
        <v>40731</v>
      </c>
      <c r="E208" s="4">
        <f t="shared" si="36"/>
        <v>4140</v>
      </c>
      <c r="F208" s="4">
        <f t="shared" si="37"/>
        <v>17139600</v>
      </c>
      <c r="G208" s="4">
        <f t="shared" si="38"/>
        <v>49743.81831688089</v>
      </c>
      <c r="H208" s="2">
        <f t="shared" si="39"/>
        <v>22.430676328502415</v>
      </c>
      <c r="I208" s="2">
        <f t="shared" si="40"/>
        <v>5.41803776050783E-3</v>
      </c>
      <c r="J208" s="2">
        <f t="shared" si="41"/>
        <v>1.8668249270379458</v>
      </c>
      <c r="K208" s="1">
        <f t="shared" si="42"/>
        <v>7.0468599033816428</v>
      </c>
      <c r="L208" s="1">
        <f t="shared" si="43"/>
        <v>1.7021400732805899E-3</v>
      </c>
      <c r="M208" s="1">
        <f t="shared" si="44"/>
        <v>0.58648493395006651</v>
      </c>
      <c r="N208" s="3">
        <f t="shared" si="45"/>
        <v>9.8384057971014496</v>
      </c>
      <c r="O208" s="3">
        <f t="shared" si="46"/>
        <v>2.3764265210389976E-3</v>
      </c>
      <c r="P208" s="3">
        <f t="shared" si="47"/>
        <v>0.81881530968397065</v>
      </c>
    </row>
    <row r="209" spans="1:16" x14ac:dyDescent="0.2">
      <c r="A209" s="4">
        <v>4160</v>
      </c>
      <c r="B209" s="4">
        <v>92732</v>
      </c>
      <c r="C209" s="4">
        <v>28869</v>
      </c>
      <c r="D209" s="4">
        <v>41132</v>
      </c>
      <c r="E209" s="4">
        <f t="shared" si="36"/>
        <v>4160</v>
      </c>
      <c r="F209" s="4">
        <f t="shared" si="37"/>
        <v>17305600</v>
      </c>
      <c r="G209" s="4">
        <f t="shared" si="38"/>
        <v>50013.050102198373</v>
      </c>
      <c r="H209" s="2">
        <f t="shared" si="39"/>
        <v>22.291346153846153</v>
      </c>
      <c r="I209" s="2">
        <f t="shared" si="40"/>
        <v>5.3584966715976333E-3</v>
      </c>
      <c r="J209" s="2">
        <f t="shared" si="41"/>
        <v>1.8541560614781196</v>
      </c>
      <c r="K209" s="1">
        <f t="shared" si="42"/>
        <v>6.9396634615384611</v>
      </c>
      <c r="L209" s="1">
        <f t="shared" si="43"/>
        <v>1.6681883321005917E-3</v>
      </c>
      <c r="M209" s="1">
        <f t="shared" si="44"/>
        <v>0.57722934196191</v>
      </c>
      <c r="N209" s="3">
        <f t="shared" si="45"/>
        <v>9.8874999999999993</v>
      </c>
      <c r="O209" s="3">
        <f t="shared" si="46"/>
        <v>2.3768028846153848E-3</v>
      </c>
      <c r="P209" s="3">
        <f t="shared" si="47"/>
        <v>0.82242534530386502</v>
      </c>
    </row>
    <row r="210" spans="1:16" x14ac:dyDescent="0.2">
      <c r="A210" s="4">
        <v>4180</v>
      </c>
      <c r="B210" s="4">
        <v>93767</v>
      </c>
      <c r="C210" s="4">
        <v>29227</v>
      </c>
      <c r="D210" s="4">
        <v>41505</v>
      </c>
      <c r="E210" s="4">
        <f t="shared" si="36"/>
        <v>4180</v>
      </c>
      <c r="F210" s="4">
        <f t="shared" si="37"/>
        <v>17472400</v>
      </c>
      <c r="G210" s="4">
        <f t="shared" si="38"/>
        <v>50282.420608727261</v>
      </c>
      <c r="H210" s="2">
        <f t="shared" si="39"/>
        <v>22.432296650717703</v>
      </c>
      <c r="I210" s="2">
        <f t="shared" si="40"/>
        <v>5.3665781461047137E-3</v>
      </c>
      <c r="J210" s="2">
        <f t="shared" si="41"/>
        <v>1.8648068025532833</v>
      </c>
      <c r="K210" s="1">
        <f t="shared" si="42"/>
        <v>6.992105263157895</v>
      </c>
      <c r="L210" s="1">
        <f t="shared" si="43"/>
        <v>1.6727524553009317E-3</v>
      </c>
      <c r="M210" s="1">
        <f t="shared" si="44"/>
        <v>0.58125682189069516</v>
      </c>
      <c r="N210" s="3">
        <f t="shared" si="45"/>
        <v>9.9294258373205739</v>
      </c>
      <c r="O210" s="3">
        <f t="shared" si="46"/>
        <v>2.3754607266317164E-3</v>
      </c>
      <c r="P210" s="3">
        <f t="shared" si="47"/>
        <v>0.82543758827704872</v>
      </c>
    </row>
    <row r="211" spans="1:16" x14ac:dyDescent="0.2">
      <c r="A211" s="4">
        <v>4200</v>
      </c>
      <c r="B211" s="4">
        <v>94238</v>
      </c>
      <c r="C211" s="4">
        <v>29138</v>
      </c>
      <c r="D211" s="4">
        <v>41941</v>
      </c>
      <c r="E211" s="4">
        <f t="shared" si="36"/>
        <v>4200</v>
      </c>
      <c r="F211" s="4">
        <f t="shared" si="37"/>
        <v>17640000</v>
      </c>
      <c r="G211" s="4">
        <f t="shared" si="38"/>
        <v>50551.929172724638</v>
      </c>
      <c r="H211" s="2">
        <f t="shared" si="39"/>
        <v>22.437619047619048</v>
      </c>
      <c r="I211" s="2">
        <f t="shared" si="40"/>
        <v>5.3422902494331065E-3</v>
      </c>
      <c r="J211" s="2">
        <f t="shared" si="41"/>
        <v>1.8641820706388836</v>
      </c>
      <c r="K211" s="1">
        <f t="shared" si="42"/>
        <v>6.937619047619048</v>
      </c>
      <c r="L211" s="1">
        <f t="shared" si="43"/>
        <v>1.6518140589569161E-3</v>
      </c>
      <c r="M211" s="1">
        <f t="shared" si="44"/>
        <v>0.57639738931509354</v>
      </c>
      <c r="N211" s="3">
        <f t="shared" si="45"/>
        <v>9.9859523809523818</v>
      </c>
      <c r="O211" s="3">
        <f t="shared" si="46"/>
        <v>2.3776077097505668E-3</v>
      </c>
      <c r="P211" s="3">
        <f t="shared" si="47"/>
        <v>0.82966170997543898</v>
      </c>
    </row>
    <row r="212" spans="1:16" x14ac:dyDescent="0.2">
      <c r="A212" s="4">
        <v>4220</v>
      </c>
      <c r="B212" s="4">
        <v>95230</v>
      </c>
      <c r="C212" s="4">
        <v>29862</v>
      </c>
      <c r="D212" s="4">
        <v>42322</v>
      </c>
      <c r="E212" s="4">
        <f t="shared" si="36"/>
        <v>4220</v>
      </c>
      <c r="F212" s="4">
        <f t="shared" si="37"/>
        <v>17808400</v>
      </c>
      <c r="G212" s="4">
        <f t="shared" si="38"/>
        <v>50821.575136768995</v>
      </c>
      <c r="H212" s="2">
        <f t="shared" si="39"/>
        <v>22.566350710900473</v>
      </c>
      <c r="I212" s="2">
        <f t="shared" si="40"/>
        <v>5.3474764717773631E-3</v>
      </c>
      <c r="J212" s="2">
        <f t="shared" si="41"/>
        <v>1.8738104780050762</v>
      </c>
      <c r="K212" s="1">
        <f t="shared" si="42"/>
        <v>7.0763033175355448</v>
      </c>
      <c r="L212" s="1">
        <f t="shared" si="43"/>
        <v>1.6768491273780912E-3</v>
      </c>
      <c r="M212" s="1">
        <f t="shared" si="44"/>
        <v>0.58758509392195302</v>
      </c>
      <c r="N212" s="3">
        <f t="shared" si="45"/>
        <v>10.028909952606636</v>
      </c>
      <c r="O212" s="3">
        <f t="shared" si="46"/>
        <v>2.3765189461153165E-3</v>
      </c>
      <c r="P212" s="3">
        <f t="shared" si="47"/>
        <v>0.83275655833383211</v>
      </c>
    </row>
    <row r="213" spans="1:16" x14ac:dyDescent="0.2">
      <c r="A213" s="4">
        <v>4240</v>
      </c>
      <c r="B213" s="4">
        <v>96731</v>
      </c>
      <c r="C213" s="4">
        <v>30273</v>
      </c>
      <c r="D213" s="4">
        <v>42712</v>
      </c>
      <c r="E213" s="4">
        <f t="shared" si="36"/>
        <v>4240</v>
      </c>
      <c r="F213" s="4">
        <f t="shared" si="37"/>
        <v>17977600</v>
      </c>
      <c r="G213" s="4">
        <f t="shared" si="38"/>
        <v>51091.357849670385</v>
      </c>
      <c r="H213" s="2">
        <f t="shared" si="39"/>
        <v>22.813915094339624</v>
      </c>
      <c r="I213" s="2">
        <f t="shared" si="40"/>
        <v>5.3806403524385904E-3</v>
      </c>
      <c r="J213" s="2">
        <f t="shared" si="41"/>
        <v>1.8932947580805795</v>
      </c>
      <c r="K213" s="1">
        <f t="shared" si="42"/>
        <v>7.1398584905660378</v>
      </c>
      <c r="L213" s="1">
        <f t="shared" si="43"/>
        <v>1.6839288892844429E-3</v>
      </c>
      <c r="M213" s="1">
        <f t="shared" si="44"/>
        <v>0.59252682398996581</v>
      </c>
      <c r="N213" s="3">
        <f t="shared" si="45"/>
        <v>10.073584905660377</v>
      </c>
      <c r="O213" s="3">
        <f t="shared" si="46"/>
        <v>2.3758454966180133E-3</v>
      </c>
      <c r="P213" s="3">
        <f t="shared" si="47"/>
        <v>0.83599265702967718</v>
      </c>
    </row>
    <row r="214" spans="1:16" x14ac:dyDescent="0.2">
      <c r="A214" s="4">
        <v>4260</v>
      </c>
      <c r="B214" s="4">
        <v>97396</v>
      </c>
      <c r="C214" s="4">
        <v>30216</v>
      </c>
      <c r="D214" s="4">
        <v>43139</v>
      </c>
      <c r="E214" s="4">
        <f t="shared" si="36"/>
        <v>4260</v>
      </c>
      <c r="F214" s="4">
        <f t="shared" si="37"/>
        <v>18147600</v>
      </c>
      <c r="G214" s="4">
        <f t="shared" si="38"/>
        <v>51361.276666382233</v>
      </c>
      <c r="H214" s="2">
        <f t="shared" si="39"/>
        <v>22.862910798122066</v>
      </c>
      <c r="I214" s="2">
        <f t="shared" si="40"/>
        <v>5.3668804690427388E-3</v>
      </c>
      <c r="J214" s="2">
        <f t="shared" si="41"/>
        <v>1.8962924273210116</v>
      </c>
      <c r="K214" s="1">
        <f t="shared" si="42"/>
        <v>7.0929577464788736</v>
      </c>
      <c r="L214" s="1">
        <f t="shared" si="43"/>
        <v>1.6650135555114727E-3</v>
      </c>
      <c r="M214" s="1">
        <f t="shared" si="44"/>
        <v>0.58830313343393659</v>
      </c>
      <c r="N214" s="3">
        <f t="shared" si="45"/>
        <v>10.126525821596244</v>
      </c>
      <c r="O214" s="3">
        <f t="shared" si="46"/>
        <v>2.3771187374639069E-3</v>
      </c>
      <c r="P214" s="3">
        <f t="shared" si="47"/>
        <v>0.8399129227298977</v>
      </c>
    </row>
    <row r="215" spans="1:16" x14ac:dyDescent="0.2">
      <c r="A215" s="4">
        <v>4280</v>
      </c>
      <c r="B215" s="4">
        <v>98657</v>
      </c>
      <c r="C215" s="4">
        <v>30794</v>
      </c>
      <c r="D215" s="4">
        <v>43524</v>
      </c>
      <c r="E215" s="4">
        <f t="shared" si="36"/>
        <v>4280</v>
      </c>
      <c r="F215" s="4">
        <f t="shared" si="37"/>
        <v>18318400</v>
      </c>
      <c r="G215" s="4">
        <f t="shared" si="38"/>
        <v>51631.330947914823</v>
      </c>
      <c r="H215" s="2">
        <f t="shared" si="39"/>
        <v>23.050700934579439</v>
      </c>
      <c r="I215" s="2">
        <f t="shared" si="40"/>
        <v>5.3856777884531398E-3</v>
      </c>
      <c r="J215" s="2">
        <f t="shared" si="41"/>
        <v>1.9107971494967699</v>
      </c>
      <c r="K215" s="1">
        <f t="shared" si="42"/>
        <v>7.1948598130841122</v>
      </c>
      <c r="L215" s="1">
        <f t="shared" si="43"/>
        <v>1.6810420124028298E-3</v>
      </c>
      <c r="M215" s="1">
        <f t="shared" si="44"/>
        <v>0.59642080563572308</v>
      </c>
      <c r="N215" s="3">
        <f t="shared" si="45"/>
        <v>10.169158878504673</v>
      </c>
      <c r="O215" s="3">
        <f t="shared" si="46"/>
        <v>2.3759717005852042E-3</v>
      </c>
      <c r="P215" s="3">
        <f t="shared" si="47"/>
        <v>0.84297652609239493</v>
      </c>
    </row>
    <row r="216" spans="1:16" x14ac:dyDescent="0.2">
      <c r="A216" s="4">
        <v>4300</v>
      </c>
      <c r="B216" s="4">
        <v>98901</v>
      </c>
      <c r="C216" s="4">
        <v>30824</v>
      </c>
      <c r="D216" s="4">
        <v>43931</v>
      </c>
      <c r="E216" s="4">
        <f t="shared" si="36"/>
        <v>4300</v>
      </c>
      <c r="F216" s="4">
        <f t="shared" si="37"/>
        <v>18490000</v>
      </c>
      <c r="G216" s="4">
        <f t="shared" si="38"/>
        <v>51901.520061250339</v>
      </c>
      <c r="H216" s="2">
        <f t="shared" si="39"/>
        <v>23.000232558139533</v>
      </c>
      <c r="I216" s="2">
        <f t="shared" si="40"/>
        <v>5.3488912925905895E-3</v>
      </c>
      <c r="J216" s="2">
        <f t="shared" si="41"/>
        <v>1.9055511261189335</v>
      </c>
      <c r="K216" s="1">
        <f t="shared" si="42"/>
        <v>7.1683720930232555</v>
      </c>
      <c r="L216" s="1">
        <f t="shared" si="43"/>
        <v>1.6670632774472688E-3</v>
      </c>
      <c r="M216" s="1">
        <f t="shared" si="44"/>
        <v>0.59389397388792842</v>
      </c>
      <c r="N216" s="3">
        <f t="shared" si="45"/>
        <v>10.216511627906977</v>
      </c>
      <c r="O216" s="3">
        <f t="shared" si="46"/>
        <v>2.3759329367225527E-3</v>
      </c>
      <c r="P216" s="3">
        <f t="shared" si="47"/>
        <v>0.84642993014763113</v>
      </c>
    </row>
    <row r="217" spans="1:16" x14ac:dyDescent="0.2">
      <c r="A217" s="4">
        <v>4320</v>
      </c>
      <c r="B217" s="4">
        <v>100504</v>
      </c>
      <c r="C217" s="4">
        <v>31484</v>
      </c>
      <c r="D217" s="4">
        <v>44361</v>
      </c>
      <c r="E217" s="4">
        <f t="shared" si="36"/>
        <v>4320</v>
      </c>
      <c r="F217" s="4">
        <f t="shared" si="37"/>
        <v>18662400</v>
      </c>
      <c r="G217" s="4">
        <f t="shared" si="38"/>
        <v>52171.84337925959</v>
      </c>
      <c r="H217" s="2">
        <f t="shared" si="39"/>
        <v>23.264814814814816</v>
      </c>
      <c r="I217" s="2">
        <f t="shared" si="40"/>
        <v>5.3853737997256517E-3</v>
      </c>
      <c r="J217" s="2">
        <f t="shared" si="41"/>
        <v>1.9264030843110749</v>
      </c>
      <c r="K217" s="1">
        <f t="shared" si="42"/>
        <v>7.287962962962963</v>
      </c>
      <c r="L217" s="1">
        <f t="shared" si="43"/>
        <v>1.6870284636488341E-3</v>
      </c>
      <c r="M217" s="1">
        <f t="shared" si="44"/>
        <v>0.60346727201355044</v>
      </c>
      <c r="N217" s="3">
        <f t="shared" si="45"/>
        <v>10.268750000000001</v>
      </c>
      <c r="O217" s="3">
        <f t="shared" si="46"/>
        <v>2.3770254629629632E-3</v>
      </c>
      <c r="P217" s="3">
        <f t="shared" si="47"/>
        <v>0.85028622963388112</v>
      </c>
    </row>
    <row r="218" spans="1:16" x14ac:dyDescent="0.2">
      <c r="A218" s="4">
        <v>4340</v>
      </c>
      <c r="B218" s="4">
        <v>101107</v>
      </c>
      <c r="C218" s="4">
        <v>31904</v>
      </c>
      <c r="D218" s="4">
        <v>44726</v>
      </c>
      <c r="E218" s="4">
        <f t="shared" si="36"/>
        <v>4340</v>
      </c>
      <c r="F218" s="4">
        <f t="shared" si="37"/>
        <v>18835600</v>
      </c>
      <c r="G218" s="4">
        <f t="shared" si="38"/>
        <v>52442.300280620198</v>
      </c>
      <c r="H218" s="2">
        <f t="shared" si="39"/>
        <v>23.296543778801844</v>
      </c>
      <c r="I218" s="2">
        <f t="shared" si="40"/>
        <v>5.3678672301386739E-3</v>
      </c>
      <c r="J218" s="2">
        <f t="shared" si="41"/>
        <v>1.9279665357731002</v>
      </c>
      <c r="K218" s="1">
        <f t="shared" si="42"/>
        <v>7.3511520737327185</v>
      </c>
      <c r="L218" s="1">
        <f t="shared" si="43"/>
        <v>1.6938138418738985E-3</v>
      </c>
      <c r="M218" s="1">
        <f t="shared" si="44"/>
        <v>0.6083638556905554</v>
      </c>
      <c r="N218" s="3">
        <f t="shared" si="45"/>
        <v>10.30552995391705</v>
      </c>
      <c r="O218" s="3">
        <f t="shared" si="46"/>
        <v>2.3745460723311176E-3</v>
      </c>
      <c r="P218" s="3">
        <f t="shared" si="47"/>
        <v>0.85286113997040436</v>
      </c>
    </row>
    <row r="219" spans="1:16" x14ac:dyDescent="0.2">
      <c r="A219" s="4">
        <v>4360</v>
      </c>
      <c r="B219" s="4">
        <v>101625</v>
      </c>
      <c r="C219" s="4">
        <v>31136</v>
      </c>
      <c r="D219" s="4">
        <v>45221</v>
      </c>
      <c r="E219" s="4">
        <f t="shared" si="36"/>
        <v>4360</v>
      </c>
      <c r="F219" s="4">
        <f t="shared" si="37"/>
        <v>19009600</v>
      </c>
      <c r="G219" s="4">
        <f t="shared" si="38"/>
        <v>52712.890149736297</v>
      </c>
      <c r="H219" s="2">
        <f t="shared" si="39"/>
        <v>23.308486238532112</v>
      </c>
      <c r="I219" s="2">
        <f t="shared" si="40"/>
        <v>5.3459830822321355E-3</v>
      </c>
      <c r="J219" s="2">
        <f t="shared" si="41"/>
        <v>1.9278965678285502</v>
      </c>
      <c r="K219" s="1">
        <f t="shared" si="42"/>
        <v>7.1412844036697249</v>
      </c>
      <c r="L219" s="1">
        <f t="shared" si="43"/>
        <v>1.637909266896726E-3</v>
      </c>
      <c r="M219" s="1">
        <f t="shared" si="44"/>
        <v>0.59067146406799254</v>
      </c>
      <c r="N219" s="3">
        <f t="shared" si="45"/>
        <v>10.371788990825689</v>
      </c>
      <c r="O219" s="3">
        <f t="shared" si="46"/>
        <v>2.3788506859691947E-3</v>
      </c>
      <c r="P219" s="3">
        <f t="shared" si="47"/>
        <v>0.8578736599633443</v>
      </c>
    </row>
    <row r="220" spans="1:16" x14ac:dyDescent="0.2">
      <c r="A220" s="4">
        <v>4380</v>
      </c>
      <c r="B220" s="4">
        <v>103677</v>
      </c>
      <c r="C220" s="4">
        <v>32157</v>
      </c>
      <c r="D220" s="4">
        <v>45584</v>
      </c>
      <c r="E220" s="4">
        <f t="shared" si="36"/>
        <v>4380</v>
      </c>
      <c r="F220" s="4">
        <f t="shared" si="37"/>
        <v>19184400</v>
      </c>
      <c r="G220" s="4">
        <f t="shared" si="38"/>
        <v>52983.612376659796</v>
      </c>
      <c r="H220" s="2">
        <f t="shared" si="39"/>
        <v>23.670547945205481</v>
      </c>
      <c r="I220" s="2">
        <f t="shared" si="40"/>
        <v>5.4042346906861827E-3</v>
      </c>
      <c r="J220" s="2">
        <f t="shared" si="41"/>
        <v>1.9567748469651631</v>
      </c>
      <c r="K220" s="1">
        <f t="shared" si="42"/>
        <v>7.3417808219178085</v>
      </c>
      <c r="L220" s="1">
        <f t="shared" si="43"/>
        <v>1.6762056671045225E-3</v>
      </c>
      <c r="M220" s="1">
        <f t="shared" si="44"/>
        <v>0.60692351007319612</v>
      </c>
      <c r="N220" s="3">
        <f t="shared" si="45"/>
        <v>10.40730593607306</v>
      </c>
      <c r="O220" s="3">
        <f t="shared" si="46"/>
        <v>2.3760972456787805E-3</v>
      </c>
      <c r="P220" s="3">
        <f t="shared" si="47"/>
        <v>0.86034148966559609</v>
      </c>
    </row>
    <row r="221" spans="1:16" x14ac:dyDescent="0.2">
      <c r="A221" s="4">
        <v>4400</v>
      </c>
      <c r="B221" s="4">
        <v>104438</v>
      </c>
      <c r="C221" s="4">
        <v>32483</v>
      </c>
      <c r="D221" s="4">
        <v>46011</v>
      </c>
      <c r="E221" s="4">
        <f t="shared" si="36"/>
        <v>4400</v>
      </c>
      <c r="F221" s="4">
        <f t="shared" si="37"/>
        <v>19360000</v>
      </c>
      <c r="G221" s="4">
        <f t="shared" si="38"/>
        <v>53254.466357012905</v>
      </c>
      <c r="H221" s="2">
        <f t="shared" si="39"/>
        <v>23.73590909090909</v>
      </c>
      <c r="I221" s="2">
        <f t="shared" si="40"/>
        <v>5.39452479338843E-3</v>
      </c>
      <c r="J221" s="2">
        <f t="shared" si="41"/>
        <v>1.9611125065052295</v>
      </c>
      <c r="K221" s="1">
        <f t="shared" si="42"/>
        <v>7.3825000000000003</v>
      </c>
      <c r="L221" s="1">
        <f t="shared" si="43"/>
        <v>1.677840909090909E-3</v>
      </c>
      <c r="M221" s="1">
        <f t="shared" si="44"/>
        <v>0.60995822927295973</v>
      </c>
      <c r="N221" s="3">
        <f t="shared" si="45"/>
        <v>10.457045454545455</v>
      </c>
      <c r="O221" s="3">
        <f t="shared" si="46"/>
        <v>2.3766012396694213E-3</v>
      </c>
      <c r="P221" s="3">
        <f t="shared" si="47"/>
        <v>0.86398387116578368</v>
      </c>
    </row>
    <row r="222" spans="1:16" x14ac:dyDescent="0.2">
      <c r="A222" s="4">
        <v>4420</v>
      </c>
      <c r="B222" s="4">
        <v>105236</v>
      </c>
      <c r="C222" s="4">
        <v>33046</v>
      </c>
      <c r="D222" s="4">
        <v>46439</v>
      </c>
      <c r="E222" s="4">
        <f t="shared" si="36"/>
        <v>4420</v>
      </c>
      <c r="F222" s="4">
        <f t="shared" si="37"/>
        <v>19536400</v>
      </c>
      <c r="G222" s="4">
        <f t="shared" si="38"/>
        <v>53525.451491912267</v>
      </c>
      <c r="H222" s="2">
        <f t="shared" si="39"/>
        <v>23.809049773755657</v>
      </c>
      <c r="I222" s="2">
        <f t="shared" si="40"/>
        <v>5.3866628447410986E-3</v>
      </c>
      <c r="J222" s="2">
        <f t="shared" si="41"/>
        <v>1.9660927104164874</v>
      </c>
      <c r="K222" s="1">
        <f t="shared" si="42"/>
        <v>7.4764705882352942</v>
      </c>
      <c r="L222" s="1">
        <f t="shared" si="43"/>
        <v>1.6915091828586639E-3</v>
      </c>
      <c r="M222" s="1">
        <f t="shared" si="44"/>
        <v>0.61738853347165645</v>
      </c>
      <c r="N222" s="3">
        <f t="shared" si="45"/>
        <v>10.506561085972852</v>
      </c>
      <c r="O222" s="3">
        <f t="shared" si="46"/>
        <v>2.3770500194508714E-3</v>
      </c>
      <c r="P222" s="3">
        <f t="shared" si="47"/>
        <v>0.86760594643497713</v>
      </c>
    </row>
    <row r="223" spans="1:16" x14ac:dyDescent="0.2">
      <c r="A223" s="4">
        <v>4440</v>
      </c>
      <c r="B223" s="4">
        <v>105882</v>
      </c>
      <c r="C223" s="4">
        <v>32644</v>
      </c>
      <c r="D223" s="4">
        <v>46844</v>
      </c>
      <c r="E223" s="4">
        <f t="shared" si="36"/>
        <v>4440</v>
      </c>
      <c r="F223" s="4">
        <f t="shared" si="37"/>
        <v>19713600</v>
      </c>
      <c r="G223" s="4">
        <f t="shared" si="38"/>
        <v>53796.567187894361</v>
      </c>
      <c r="H223" s="2">
        <f t="shared" si="39"/>
        <v>23.847297297297299</v>
      </c>
      <c r="I223" s="2">
        <f t="shared" si="40"/>
        <v>5.3710129047966886E-3</v>
      </c>
      <c r="J223" s="2">
        <f t="shared" si="41"/>
        <v>1.9681924987924921</v>
      </c>
      <c r="K223" s="1">
        <f t="shared" si="42"/>
        <v>7.352252252252252</v>
      </c>
      <c r="L223" s="1">
        <f t="shared" si="43"/>
        <v>1.6559126694261829E-3</v>
      </c>
      <c r="M223" s="1">
        <f t="shared" si="44"/>
        <v>0.60680451758166754</v>
      </c>
      <c r="N223" s="3">
        <f t="shared" si="45"/>
        <v>10.55045045045045</v>
      </c>
      <c r="O223" s="3">
        <f t="shared" si="46"/>
        <v>2.3762275789302816E-3</v>
      </c>
      <c r="P223" s="3">
        <f t="shared" si="47"/>
        <v>0.87076188033315871</v>
      </c>
    </row>
    <row r="224" spans="1:16" x14ac:dyDescent="0.2">
      <c r="A224" s="4">
        <v>4460</v>
      </c>
      <c r="B224" s="4">
        <v>107145</v>
      </c>
      <c r="C224" s="4">
        <v>33298</v>
      </c>
      <c r="D224" s="4">
        <v>47243</v>
      </c>
      <c r="E224" s="4">
        <f t="shared" si="36"/>
        <v>4460</v>
      </c>
      <c r="F224" s="4">
        <f t="shared" si="37"/>
        <v>19891600</v>
      </c>
      <c r="G224" s="4">
        <f t="shared" si="38"/>
        <v>54067.812856842189</v>
      </c>
      <c r="H224" s="2">
        <f t="shared" si="39"/>
        <v>24.02354260089686</v>
      </c>
      <c r="I224" s="2">
        <f t="shared" si="40"/>
        <v>5.3864445293490722E-3</v>
      </c>
      <c r="J224" s="2">
        <f t="shared" si="41"/>
        <v>1.9816780879169775</v>
      </c>
      <c r="K224" s="1">
        <f t="shared" si="42"/>
        <v>7.4659192825112104</v>
      </c>
      <c r="L224" s="1">
        <f t="shared" si="43"/>
        <v>1.6739729332984777E-3</v>
      </c>
      <c r="M224" s="1">
        <f t="shared" si="44"/>
        <v>0.61585624127546335</v>
      </c>
      <c r="N224" s="3">
        <f t="shared" si="45"/>
        <v>10.592600896860986</v>
      </c>
      <c r="O224" s="3">
        <f t="shared" si="46"/>
        <v>2.3750226226145711E-3</v>
      </c>
      <c r="P224" s="3">
        <f t="shared" si="47"/>
        <v>0.87377309167447637</v>
      </c>
    </row>
    <row r="225" spans="1:16" x14ac:dyDescent="0.2">
      <c r="A225" s="4">
        <v>4480</v>
      </c>
      <c r="B225" s="4">
        <v>108385</v>
      </c>
      <c r="C225" s="4">
        <v>34380</v>
      </c>
      <c r="D225" s="4">
        <v>47685</v>
      </c>
      <c r="E225" s="4">
        <f t="shared" si="36"/>
        <v>4480</v>
      </c>
      <c r="F225" s="4">
        <f t="shared" si="37"/>
        <v>20070400</v>
      </c>
      <c r="G225" s="4">
        <f t="shared" si="38"/>
        <v>54339.187915913455</v>
      </c>
      <c r="H225" s="2">
        <f t="shared" si="39"/>
        <v>24.193080357142858</v>
      </c>
      <c r="I225" s="2">
        <f t="shared" si="40"/>
        <v>5.4002411511479588E-3</v>
      </c>
      <c r="J225" s="2">
        <f t="shared" si="41"/>
        <v>1.9946010265688754</v>
      </c>
      <c r="K225" s="1">
        <f t="shared" si="42"/>
        <v>7.6741071428571432</v>
      </c>
      <c r="L225" s="1">
        <f t="shared" si="43"/>
        <v>1.7129703443877551E-3</v>
      </c>
      <c r="M225" s="1">
        <f t="shared" si="44"/>
        <v>0.63269256164079835</v>
      </c>
      <c r="N225" s="3">
        <f t="shared" si="45"/>
        <v>10.643973214285714</v>
      </c>
      <c r="O225" s="3">
        <f t="shared" si="46"/>
        <v>2.3758868781887754E-3</v>
      </c>
      <c r="P225" s="3">
        <f t="shared" si="47"/>
        <v>0.87754347882028716</v>
      </c>
    </row>
    <row r="226" spans="1:16" x14ac:dyDescent="0.2">
      <c r="A226" s="4">
        <v>4500</v>
      </c>
      <c r="B226" s="4">
        <v>108311</v>
      </c>
      <c r="C226" s="4">
        <v>33330</v>
      </c>
      <c r="D226" s="4">
        <v>48086</v>
      </c>
      <c r="E226" s="4">
        <f t="shared" si="36"/>
        <v>4500</v>
      </c>
      <c r="F226" s="4">
        <f t="shared" si="37"/>
        <v>20250000</v>
      </c>
      <c r="G226" s="4">
        <f t="shared" si="38"/>
        <v>54610.691787469805</v>
      </c>
      <c r="H226" s="2">
        <f t="shared" si="39"/>
        <v>24.069111111111113</v>
      </c>
      <c r="I226" s="2">
        <f t="shared" si="40"/>
        <v>5.3486913580246915E-3</v>
      </c>
      <c r="J226" s="2">
        <f t="shared" si="41"/>
        <v>1.983329572559114</v>
      </c>
      <c r="K226" s="1">
        <f t="shared" si="42"/>
        <v>7.4066666666666663</v>
      </c>
      <c r="L226" s="1">
        <f t="shared" si="43"/>
        <v>1.6459259259259259E-3</v>
      </c>
      <c r="M226" s="1">
        <f t="shared" si="44"/>
        <v>0.61032004739495771</v>
      </c>
      <c r="N226" s="3">
        <f t="shared" si="45"/>
        <v>10.685777777777778</v>
      </c>
      <c r="O226" s="3">
        <f t="shared" si="46"/>
        <v>2.3746172839506172E-3</v>
      </c>
      <c r="P226" s="3">
        <f t="shared" si="47"/>
        <v>0.88052354632565066</v>
      </c>
    </row>
    <row r="227" spans="1:16" x14ac:dyDescent="0.2">
      <c r="A227" s="4">
        <v>4520</v>
      </c>
      <c r="B227" s="4">
        <v>109450</v>
      </c>
      <c r="C227" s="4">
        <v>33250</v>
      </c>
      <c r="D227" s="4">
        <v>48539</v>
      </c>
      <c r="E227" s="4">
        <f t="shared" si="36"/>
        <v>4520</v>
      </c>
      <c r="F227" s="4">
        <f t="shared" si="37"/>
        <v>20430400</v>
      </c>
      <c r="G227" s="4">
        <f t="shared" si="38"/>
        <v>54882.323899007526</v>
      </c>
      <c r="H227" s="2">
        <f t="shared" si="39"/>
        <v>24.214601769911503</v>
      </c>
      <c r="I227" s="2">
        <f t="shared" si="40"/>
        <v>5.3572127809538728E-3</v>
      </c>
      <c r="J227" s="2">
        <f t="shared" si="41"/>
        <v>1.9942668645264721</v>
      </c>
      <c r="K227" s="1">
        <f t="shared" si="42"/>
        <v>7.3561946902654869</v>
      </c>
      <c r="L227" s="1">
        <f t="shared" si="43"/>
        <v>1.6274767013861697E-3</v>
      </c>
      <c r="M227" s="1">
        <f t="shared" si="44"/>
        <v>0.60584169251261033</v>
      </c>
      <c r="N227" s="3">
        <f t="shared" si="45"/>
        <v>10.738716814159291</v>
      </c>
      <c r="O227" s="3">
        <f t="shared" si="46"/>
        <v>2.3758223040175426E-3</v>
      </c>
      <c r="P227" s="3">
        <f t="shared" si="47"/>
        <v>0.88441954625171704</v>
      </c>
    </row>
    <row r="228" spans="1:16" x14ac:dyDescent="0.2">
      <c r="A228" s="4">
        <v>4540</v>
      </c>
      <c r="B228" s="4">
        <v>111390</v>
      </c>
      <c r="C228" s="4">
        <v>34803</v>
      </c>
      <c r="D228" s="4">
        <v>48956</v>
      </c>
      <c r="E228" s="4">
        <f t="shared" si="36"/>
        <v>4540</v>
      </c>
      <c r="F228" s="4">
        <f t="shared" si="37"/>
        <v>20611600</v>
      </c>
      <c r="G228" s="4">
        <f t="shared" si="38"/>
        <v>55154.08368308939</v>
      </c>
      <c r="H228" s="2">
        <f t="shared" si="39"/>
        <v>24.535242290748897</v>
      </c>
      <c r="I228" s="2">
        <f t="shared" si="40"/>
        <v>5.4042383900327973E-3</v>
      </c>
      <c r="J228" s="2">
        <f t="shared" si="41"/>
        <v>2.0196147331544356</v>
      </c>
      <c r="K228" s="1">
        <f t="shared" si="42"/>
        <v>7.6658590308370043</v>
      </c>
      <c r="L228" s="1">
        <f t="shared" si="43"/>
        <v>1.6885152050301771E-3</v>
      </c>
      <c r="M228" s="1">
        <f t="shared" si="44"/>
        <v>0.63101401883448993</v>
      </c>
      <c r="N228" s="3">
        <f t="shared" si="45"/>
        <v>10.783259911894273</v>
      </c>
      <c r="O228" s="3">
        <f t="shared" si="46"/>
        <v>2.3751673814745096E-3</v>
      </c>
      <c r="P228" s="3">
        <f t="shared" si="47"/>
        <v>0.88762239766862883</v>
      </c>
    </row>
    <row r="229" spans="1:16" x14ac:dyDescent="0.2">
      <c r="A229" s="4">
        <v>4560</v>
      </c>
      <c r="B229" s="4">
        <v>112028</v>
      </c>
      <c r="C229" s="4">
        <v>34533</v>
      </c>
      <c r="D229" s="4">
        <v>49389</v>
      </c>
      <c r="E229" s="4">
        <f t="shared" si="36"/>
        <v>4560</v>
      </c>
      <c r="F229" s="4">
        <f t="shared" si="37"/>
        <v>20793600</v>
      </c>
      <c r="G229" s="4">
        <f t="shared" si="38"/>
        <v>55425.9705772776</v>
      </c>
      <c r="H229" s="2">
        <f t="shared" si="39"/>
        <v>24.567543859649124</v>
      </c>
      <c r="I229" s="2">
        <f t="shared" si="40"/>
        <v>5.3876192674669129E-3</v>
      </c>
      <c r="J229" s="2">
        <f t="shared" si="41"/>
        <v>2.0212185521190844</v>
      </c>
      <c r="K229" s="1">
        <f t="shared" si="42"/>
        <v>7.5730263157894733</v>
      </c>
      <c r="L229" s="1">
        <f t="shared" si="43"/>
        <v>1.6607513850415512E-3</v>
      </c>
      <c r="M229" s="1">
        <f t="shared" si="44"/>
        <v>0.623047276219591</v>
      </c>
      <c r="N229" s="3">
        <f t="shared" si="45"/>
        <v>10.830921052631579</v>
      </c>
      <c r="O229" s="3">
        <f t="shared" si="46"/>
        <v>2.3752019852262235E-3</v>
      </c>
      <c r="P229" s="3">
        <f t="shared" si="47"/>
        <v>0.89108047158397419</v>
      </c>
    </row>
    <row r="230" spans="1:16" x14ac:dyDescent="0.2">
      <c r="A230" s="4">
        <v>4580</v>
      </c>
      <c r="B230" s="4">
        <v>113511</v>
      </c>
      <c r="C230" s="4">
        <v>35599</v>
      </c>
      <c r="D230" s="4">
        <v>49789</v>
      </c>
      <c r="E230" s="4">
        <f t="shared" si="36"/>
        <v>4580</v>
      </c>
      <c r="F230" s="4">
        <f t="shared" si="37"/>
        <v>20976400</v>
      </c>
      <c r="G230" s="4">
        <f t="shared" si="38"/>
        <v>55697.98402406813</v>
      </c>
      <c r="H230" s="2">
        <f t="shared" si="39"/>
        <v>24.784061135371179</v>
      </c>
      <c r="I230" s="2">
        <f t="shared" si="40"/>
        <v>5.4113670601247119E-3</v>
      </c>
      <c r="J230" s="2">
        <f t="shared" si="41"/>
        <v>2.0379732227103551</v>
      </c>
      <c r="K230" s="1">
        <f t="shared" si="42"/>
        <v>7.772707423580786</v>
      </c>
      <c r="L230" s="1">
        <f t="shared" si="43"/>
        <v>1.6970976907381629E-3</v>
      </c>
      <c r="M230" s="1">
        <f t="shared" si="44"/>
        <v>0.63914342006735847</v>
      </c>
      <c r="N230" s="3">
        <f t="shared" si="45"/>
        <v>10.870960698689956</v>
      </c>
      <c r="O230" s="3">
        <f t="shared" si="46"/>
        <v>2.3735722049541387E-3</v>
      </c>
      <c r="P230" s="3">
        <f t="shared" si="47"/>
        <v>0.89391027112373134</v>
      </c>
    </row>
    <row r="231" spans="1:16" x14ac:dyDescent="0.2">
      <c r="A231" s="4">
        <v>4600</v>
      </c>
      <c r="B231" s="4">
        <v>113621</v>
      </c>
      <c r="C231" s="4">
        <v>35465</v>
      </c>
      <c r="D231" s="4">
        <v>50250</v>
      </c>
      <c r="E231" s="4">
        <f t="shared" si="36"/>
        <v>4600</v>
      </c>
      <c r="F231" s="4">
        <f t="shared" si="37"/>
        <v>21160000</v>
      </c>
      <c r="G231" s="4">
        <f t="shared" si="38"/>
        <v>55970.123470826002</v>
      </c>
      <c r="H231" s="2">
        <f t="shared" si="39"/>
        <v>24.700217391304349</v>
      </c>
      <c r="I231" s="2">
        <f t="shared" si="40"/>
        <v>5.36961247637051E-3</v>
      </c>
      <c r="J231" s="2">
        <f t="shared" si="41"/>
        <v>2.0300294684756963</v>
      </c>
      <c r="K231" s="1">
        <f t="shared" si="42"/>
        <v>7.7097826086956518</v>
      </c>
      <c r="L231" s="1">
        <f t="shared" si="43"/>
        <v>1.6760396975425331E-3</v>
      </c>
      <c r="M231" s="1">
        <f t="shared" si="44"/>
        <v>0.63364162522324718</v>
      </c>
      <c r="N231" s="3">
        <f t="shared" si="45"/>
        <v>10.923913043478262</v>
      </c>
      <c r="O231" s="3">
        <f t="shared" si="46"/>
        <v>2.3747637051039698E-3</v>
      </c>
      <c r="P231" s="3">
        <f t="shared" si="47"/>
        <v>0.89780041357586837</v>
      </c>
    </row>
    <row r="232" spans="1:16" x14ac:dyDescent="0.2">
      <c r="A232" s="4">
        <v>4620</v>
      </c>
      <c r="B232" s="4">
        <v>115266</v>
      </c>
      <c r="C232" s="4">
        <v>35887</v>
      </c>
      <c r="D232" s="4">
        <v>50680</v>
      </c>
      <c r="E232" s="4">
        <f t="shared" si="36"/>
        <v>4620</v>
      </c>
      <c r="F232" s="4">
        <f t="shared" si="37"/>
        <v>21344400</v>
      </c>
      <c r="G232" s="4">
        <f t="shared" si="38"/>
        <v>56242.388369721797</v>
      </c>
      <c r="H232" s="2">
        <f t="shared" si="39"/>
        <v>24.949350649350649</v>
      </c>
      <c r="I232" s="2">
        <f t="shared" si="40"/>
        <v>5.4002923483442962E-3</v>
      </c>
      <c r="J232" s="2">
        <f t="shared" si="41"/>
        <v>2.0494506606347054</v>
      </c>
      <c r="K232" s="1">
        <f t="shared" si="42"/>
        <v>7.7677489177489178</v>
      </c>
      <c r="L232" s="1">
        <f t="shared" si="43"/>
        <v>1.6813309345776878E-3</v>
      </c>
      <c r="M232" s="1">
        <f t="shared" si="44"/>
        <v>0.63807745439416363</v>
      </c>
      <c r="N232" s="3">
        <f t="shared" si="45"/>
        <v>10.969696969696969</v>
      </c>
      <c r="O232" s="3">
        <f t="shared" si="46"/>
        <v>2.3743932834841925E-3</v>
      </c>
      <c r="P232" s="3">
        <f t="shared" si="47"/>
        <v>0.90109971267300737</v>
      </c>
    </row>
    <row r="233" spans="1:16" x14ac:dyDescent="0.2">
      <c r="A233" s="4">
        <v>4640</v>
      </c>
      <c r="B233" s="4">
        <v>116260</v>
      </c>
      <c r="C233" s="4">
        <v>36171</v>
      </c>
      <c r="D233" s="4">
        <v>51145</v>
      </c>
      <c r="E233" s="4">
        <f t="shared" si="36"/>
        <v>4640</v>
      </c>
      <c r="F233" s="4">
        <f t="shared" si="37"/>
        <v>21529600</v>
      </c>
      <c r="G233" s="4">
        <f t="shared" si="38"/>
        <v>56514.778177669294</v>
      </c>
      <c r="H233" s="2">
        <f t="shared" si="39"/>
        <v>25.056034482758619</v>
      </c>
      <c r="I233" s="2">
        <f t="shared" si="40"/>
        <v>5.400007431629013E-3</v>
      </c>
      <c r="J233" s="2">
        <f t="shared" si="41"/>
        <v>2.0571610426304012</v>
      </c>
      <c r="K233" s="1">
        <f t="shared" si="42"/>
        <v>7.7954741379310342</v>
      </c>
      <c r="L233" s="1">
        <f t="shared" si="43"/>
        <v>1.680059081450654E-3</v>
      </c>
      <c r="M233" s="1">
        <f t="shared" si="44"/>
        <v>0.64002728430229006</v>
      </c>
      <c r="N233" s="3">
        <f t="shared" si="45"/>
        <v>11.022629310344827</v>
      </c>
      <c r="O233" s="3">
        <f t="shared" si="46"/>
        <v>2.3755666617122475E-3</v>
      </c>
      <c r="P233" s="3">
        <f t="shared" si="47"/>
        <v>0.90498453058086925</v>
      </c>
    </row>
    <row r="234" spans="1:16" x14ac:dyDescent="0.2">
      <c r="A234" s="4">
        <v>4660</v>
      </c>
      <c r="B234" s="4">
        <v>117361</v>
      </c>
      <c r="C234" s="4">
        <v>36837</v>
      </c>
      <c r="D234" s="4">
        <v>51590</v>
      </c>
      <c r="E234" s="4">
        <f t="shared" si="36"/>
        <v>4660</v>
      </c>
      <c r="F234" s="4">
        <f t="shared" si="37"/>
        <v>21715600</v>
      </c>
      <c r="G234" s="4">
        <f t="shared" si="38"/>
        <v>56787.292356264057</v>
      </c>
      <c r="H234" s="2">
        <f t="shared" si="39"/>
        <v>25.184763948497853</v>
      </c>
      <c r="I234" s="2">
        <f t="shared" si="40"/>
        <v>5.4044557829394536E-3</v>
      </c>
      <c r="J234" s="2">
        <f t="shared" si="41"/>
        <v>2.0666771583986998</v>
      </c>
      <c r="K234" s="1">
        <f t="shared" si="42"/>
        <v>7.9049356223175966</v>
      </c>
      <c r="L234" s="1">
        <f t="shared" si="43"/>
        <v>1.6963381163771667E-3</v>
      </c>
      <c r="M234" s="1">
        <f t="shared" si="44"/>
        <v>0.64868385991882227</v>
      </c>
      <c r="N234" s="3">
        <f t="shared" si="45"/>
        <v>11.070815450643776</v>
      </c>
      <c r="O234" s="3">
        <f t="shared" si="46"/>
        <v>2.3757114700952309E-3</v>
      </c>
      <c r="P234" s="3">
        <f t="shared" si="47"/>
        <v>0.90847789812449553</v>
      </c>
    </row>
    <row r="235" spans="1:16" x14ac:dyDescent="0.2">
      <c r="A235" s="4">
        <v>4680</v>
      </c>
      <c r="B235" s="4">
        <v>117392</v>
      </c>
      <c r="C235" s="4">
        <v>36376</v>
      </c>
      <c r="D235" s="4">
        <v>52018</v>
      </c>
      <c r="E235" s="4">
        <f t="shared" si="36"/>
        <v>4680</v>
      </c>
      <c r="F235" s="4">
        <f t="shared" si="37"/>
        <v>21902400</v>
      </c>
      <c r="G235" s="4">
        <f t="shared" si="38"/>
        <v>57059.930371723189</v>
      </c>
      <c r="H235" s="2">
        <f t="shared" si="39"/>
        <v>25.083760683760683</v>
      </c>
      <c r="I235" s="2">
        <f t="shared" si="40"/>
        <v>5.3597779238804882E-3</v>
      </c>
      <c r="J235" s="2">
        <f t="shared" si="41"/>
        <v>2.0573456580692775</v>
      </c>
      <c r="K235" s="1">
        <f t="shared" si="42"/>
        <v>7.7726495726495726</v>
      </c>
      <c r="L235" s="1">
        <f t="shared" si="43"/>
        <v>1.6608225582584557E-3</v>
      </c>
      <c r="M235" s="1">
        <f t="shared" si="44"/>
        <v>0.63750515927770235</v>
      </c>
      <c r="N235" s="3">
        <f t="shared" si="45"/>
        <v>11.114957264957265</v>
      </c>
      <c r="O235" s="3">
        <f t="shared" si="46"/>
        <v>2.3749908685806124E-3</v>
      </c>
      <c r="P235" s="3">
        <f t="shared" si="47"/>
        <v>0.91163798590574896</v>
      </c>
    </row>
    <row r="236" spans="1:16" x14ac:dyDescent="0.2">
      <c r="A236" s="4">
        <v>4700</v>
      </c>
      <c r="B236" s="4">
        <v>119086</v>
      </c>
      <c r="C236" s="4">
        <v>36759</v>
      </c>
      <c r="D236" s="4">
        <v>52484</v>
      </c>
      <c r="E236" s="4">
        <f t="shared" si="36"/>
        <v>4700</v>
      </c>
      <c r="F236" s="4">
        <f t="shared" si="37"/>
        <v>22090000</v>
      </c>
      <c r="G236" s="4">
        <f t="shared" si="38"/>
        <v>57332.691694826099</v>
      </c>
      <c r="H236" s="2">
        <f t="shared" si="39"/>
        <v>25.337446808510638</v>
      </c>
      <c r="I236" s="2">
        <f t="shared" si="40"/>
        <v>5.3909461294703483E-3</v>
      </c>
      <c r="J236" s="2">
        <f t="shared" si="41"/>
        <v>2.0771046409939746</v>
      </c>
      <c r="K236" s="1">
        <f t="shared" si="42"/>
        <v>7.8210638297872341</v>
      </c>
      <c r="L236" s="1">
        <f t="shared" si="43"/>
        <v>1.6640561339972839E-3</v>
      </c>
      <c r="M236" s="1">
        <f t="shared" si="44"/>
        <v>0.64115252421189328</v>
      </c>
      <c r="N236" s="3">
        <f t="shared" si="45"/>
        <v>11.166808510638297</v>
      </c>
      <c r="O236" s="3">
        <f t="shared" si="46"/>
        <v>2.3759167043911271E-3</v>
      </c>
      <c r="P236" s="3">
        <f t="shared" si="47"/>
        <v>0.91542884955349724</v>
      </c>
    </row>
    <row r="237" spans="1:16" x14ac:dyDescent="0.2">
      <c r="A237" s="4">
        <v>4720</v>
      </c>
      <c r="B237" s="4">
        <v>119708</v>
      </c>
      <c r="C237" s="4">
        <v>37314</v>
      </c>
      <c r="D237" s="4">
        <v>52923</v>
      </c>
      <c r="E237" s="4">
        <f t="shared" si="36"/>
        <v>4720</v>
      </c>
      <c r="F237" s="4">
        <f t="shared" si="37"/>
        <v>22278400</v>
      </c>
      <c r="G237" s="4">
        <f t="shared" si="38"/>
        <v>57605.575800856241</v>
      </c>
      <c r="H237" s="2">
        <f t="shared" si="39"/>
        <v>25.361864406779659</v>
      </c>
      <c r="I237" s="2">
        <f t="shared" si="40"/>
        <v>5.373276357368572E-3</v>
      </c>
      <c r="J237" s="2">
        <f t="shared" si="41"/>
        <v>2.0780627280566248</v>
      </c>
      <c r="K237" s="1">
        <f t="shared" si="42"/>
        <v>7.9055084745762709</v>
      </c>
      <c r="L237" s="1">
        <f t="shared" si="43"/>
        <v>1.6748958632576845E-3</v>
      </c>
      <c r="M237" s="1">
        <f t="shared" si="44"/>
        <v>0.64774979646059483</v>
      </c>
      <c r="N237" s="3">
        <f t="shared" si="45"/>
        <v>11.2125</v>
      </c>
      <c r="O237" s="3">
        <f t="shared" si="46"/>
        <v>2.375529661016949E-3</v>
      </c>
      <c r="P237" s="3">
        <f t="shared" si="47"/>
        <v>0.91871314997277331</v>
      </c>
    </row>
    <row r="238" spans="1:16" x14ac:dyDescent="0.2">
      <c r="A238" s="4">
        <v>4740</v>
      </c>
      <c r="B238" s="4">
        <v>121730</v>
      </c>
      <c r="C238" s="4">
        <v>38252</v>
      </c>
      <c r="D238" s="4">
        <v>53356</v>
      </c>
      <c r="E238" s="4">
        <f t="shared" si="36"/>
        <v>4740</v>
      </c>
      <c r="F238" s="4">
        <f t="shared" si="37"/>
        <v>22467600</v>
      </c>
      <c r="G238" s="4">
        <f t="shared" si="38"/>
        <v>57878.58216954385</v>
      </c>
      <c r="H238" s="2">
        <f t="shared" si="39"/>
        <v>25.68143459915612</v>
      </c>
      <c r="I238" s="2">
        <f t="shared" si="40"/>
        <v>5.4180241770371554E-3</v>
      </c>
      <c r="J238" s="2">
        <f t="shared" si="41"/>
        <v>2.1031959567256857</v>
      </c>
      <c r="K238" s="1">
        <f t="shared" si="42"/>
        <v>8.0700421940928262</v>
      </c>
      <c r="L238" s="1">
        <f t="shared" si="43"/>
        <v>1.7025405472769677E-3</v>
      </c>
      <c r="M238" s="1">
        <f t="shared" si="44"/>
        <v>0.66090077825245164</v>
      </c>
      <c r="N238" s="3">
        <f t="shared" si="45"/>
        <v>11.256540084388186</v>
      </c>
      <c r="O238" s="3">
        <f t="shared" si="46"/>
        <v>2.374797486157845E-3</v>
      </c>
      <c r="P238" s="3">
        <f t="shared" si="47"/>
        <v>0.92186086804448941</v>
      </c>
    </row>
    <row r="239" spans="1:16" x14ac:dyDescent="0.2">
      <c r="A239" s="4">
        <v>4760</v>
      </c>
      <c r="B239" s="4">
        <v>121634</v>
      </c>
      <c r="C239" s="4">
        <v>37880</v>
      </c>
      <c r="D239" s="4">
        <v>53831</v>
      </c>
      <c r="E239" s="4">
        <f t="shared" si="36"/>
        <v>4760</v>
      </c>
      <c r="F239" s="4">
        <f t="shared" si="37"/>
        <v>22657600</v>
      </c>
      <c r="G239" s="4">
        <f t="shared" si="38"/>
        <v>58151.710285009656</v>
      </c>
      <c r="H239" s="2">
        <f t="shared" si="39"/>
        <v>25.553361344537816</v>
      </c>
      <c r="I239" s="2">
        <f t="shared" si="40"/>
        <v>5.3683532236423982E-3</v>
      </c>
      <c r="J239" s="2">
        <f t="shared" si="41"/>
        <v>2.0916667696247413</v>
      </c>
      <c r="K239" s="1">
        <f t="shared" si="42"/>
        <v>7.9579831932773111</v>
      </c>
      <c r="L239" s="1">
        <f t="shared" si="43"/>
        <v>1.671845208671704E-3</v>
      </c>
      <c r="M239" s="1">
        <f t="shared" si="44"/>
        <v>0.65139958591664504</v>
      </c>
      <c r="N239" s="3">
        <f t="shared" si="45"/>
        <v>11.309033613445377</v>
      </c>
      <c r="O239" s="3">
        <f t="shared" si="46"/>
        <v>2.3758473977826423E-3</v>
      </c>
      <c r="P239" s="3">
        <f t="shared" si="47"/>
        <v>0.92569934291127032</v>
      </c>
    </row>
    <row r="240" spans="1:16" x14ac:dyDescent="0.2">
      <c r="A240" s="4">
        <v>4780</v>
      </c>
      <c r="B240" s="4">
        <v>123186</v>
      </c>
      <c r="C240" s="4">
        <v>38405</v>
      </c>
      <c r="D240" s="4">
        <v>54296</v>
      </c>
      <c r="E240" s="4">
        <f t="shared" si="36"/>
        <v>4780</v>
      </c>
      <c r="F240" s="4">
        <f t="shared" si="37"/>
        <v>22848400</v>
      </c>
      <c r="G240" s="4">
        <f t="shared" si="38"/>
        <v>58424.959635709572</v>
      </c>
      <c r="H240" s="2">
        <f t="shared" si="39"/>
        <v>25.771129707112969</v>
      </c>
      <c r="I240" s="2">
        <f t="shared" si="40"/>
        <v>5.3914497295215417E-3</v>
      </c>
      <c r="J240" s="2">
        <f t="shared" si="41"/>
        <v>2.1084481832437283</v>
      </c>
      <c r="K240" s="1">
        <f t="shared" si="42"/>
        <v>8.0345188284518834</v>
      </c>
      <c r="L240" s="1">
        <f t="shared" si="43"/>
        <v>1.680861679592444E-3</v>
      </c>
      <c r="M240" s="1">
        <f t="shared" si="44"/>
        <v>0.65733892225963486</v>
      </c>
      <c r="N240" s="3">
        <f t="shared" si="45"/>
        <v>11.358995815899581</v>
      </c>
      <c r="O240" s="3">
        <f t="shared" si="46"/>
        <v>2.3763589573011679E-3</v>
      </c>
      <c r="P240" s="3">
        <f t="shared" si="47"/>
        <v>0.92932884059391052</v>
      </c>
    </row>
    <row r="241" spans="1:16" x14ac:dyDescent="0.2">
      <c r="A241" s="4">
        <v>4800</v>
      </c>
      <c r="B241" s="4">
        <v>124150</v>
      </c>
      <c r="C241" s="4">
        <v>38520</v>
      </c>
      <c r="D241" s="4">
        <v>54701</v>
      </c>
      <c r="E241" s="4">
        <f t="shared" si="36"/>
        <v>4800</v>
      </c>
      <c r="F241" s="4">
        <f t="shared" si="37"/>
        <v>23040000</v>
      </c>
      <c r="G241" s="4">
        <f t="shared" si="38"/>
        <v>58698.329714380234</v>
      </c>
      <c r="H241" s="2">
        <f t="shared" si="39"/>
        <v>25.864583333333332</v>
      </c>
      <c r="I241" s="2">
        <f t="shared" si="40"/>
        <v>5.3884548611111112E-3</v>
      </c>
      <c r="J241" s="2">
        <f t="shared" si="41"/>
        <v>2.1150516650831559</v>
      </c>
      <c r="K241" s="1">
        <f t="shared" si="42"/>
        <v>8.0250000000000004</v>
      </c>
      <c r="L241" s="1">
        <f t="shared" si="43"/>
        <v>1.671875E-3</v>
      </c>
      <c r="M241" s="1">
        <f t="shared" si="44"/>
        <v>0.65623673088202306</v>
      </c>
      <c r="N241" s="3">
        <f t="shared" si="45"/>
        <v>11.396041666666667</v>
      </c>
      <c r="O241" s="3">
        <f t="shared" si="46"/>
        <v>2.3741753472222224E-3</v>
      </c>
      <c r="P241" s="3">
        <f t="shared" si="47"/>
        <v>0.93190045212818129</v>
      </c>
    </row>
    <row r="242" spans="1:16" x14ac:dyDescent="0.2">
      <c r="A242" s="4">
        <v>4820</v>
      </c>
      <c r="B242" s="4">
        <v>124772</v>
      </c>
      <c r="C242" s="4">
        <v>38956</v>
      </c>
      <c r="D242" s="4">
        <v>55180</v>
      </c>
      <c r="E242" s="4">
        <f t="shared" si="36"/>
        <v>4820</v>
      </c>
      <c r="F242" s="4">
        <f t="shared" si="37"/>
        <v>23232400</v>
      </c>
      <c r="G242" s="4">
        <f t="shared" si="38"/>
        <v>58971.820017985498</v>
      </c>
      <c r="H242" s="2">
        <f t="shared" si="39"/>
        <v>25.886307053941909</v>
      </c>
      <c r="I242" s="2">
        <f t="shared" si="40"/>
        <v>5.3706031232244626E-3</v>
      </c>
      <c r="J242" s="2">
        <f t="shared" si="41"/>
        <v>2.1157902191580056</v>
      </c>
      <c r="K242" s="1">
        <f t="shared" si="42"/>
        <v>8.0821576763485474</v>
      </c>
      <c r="L242" s="1">
        <f t="shared" si="43"/>
        <v>1.6767961984125617E-3</v>
      </c>
      <c r="M242" s="1">
        <f t="shared" si="44"/>
        <v>0.66058670036161371</v>
      </c>
      <c r="N242" s="3">
        <f t="shared" si="45"/>
        <v>11.448132780082988</v>
      </c>
      <c r="O242" s="3">
        <f t="shared" si="46"/>
        <v>2.3751312821748936E-3</v>
      </c>
      <c r="P242" s="3">
        <f t="shared" si="47"/>
        <v>0.93570115324863556</v>
      </c>
    </row>
    <row r="243" spans="1:16" x14ac:dyDescent="0.2">
      <c r="A243" s="4">
        <v>4840</v>
      </c>
      <c r="B243" s="4">
        <v>125951</v>
      </c>
      <c r="C243" s="4">
        <v>38853</v>
      </c>
      <c r="D243" s="4">
        <v>55620</v>
      </c>
      <c r="E243" s="4">
        <f t="shared" si="36"/>
        <v>4840</v>
      </c>
      <c r="F243" s="4">
        <f t="shared" si="37"/>
        <v>23425600</v>
      </c>
      <c r="G243" s="4">
        <f t="shared" si="38"/>
        <v>59245.430047663867</v>
      </c>
      <c r="H243" s="2">
        <f t="shared" si="39"/>
        <v>26.022933884297522</v>
      </c>
      <c r="I243" s="2">
        <f t="shared" si="40"/>
        <v>5.3766392322928758E-3</v>
      </c>
      <c r="J243" s="2">
        <f t="shared" si="41"/>
        <v>2.1259192464071992</v>
      </c>
      <c r="K243" s="1">
        <f t="shared" si="42"/>
        <v>8.0274793388429746</v>
      </c>
      <c r="L243" s="1">
        <f t="shared" si="43"/>
        <v>1.6585701113311932E-3</v>
      </c>
      <c r="M243" s="1">
        <f t="shared" si="44"/>
        <v>0.65579741709600481</v>
      </c>
      <c r="N243" s="3">
        <f t="shared" si="45"/>
        <v>11.491735537190083</v>
      </c>
      <c r="O243" s="3">
        <f t="shared" si="46"/>
        <v>2.3743255242128268E-3</v>
      </c>
      <c r="P243" s="3">
        <f t="shared" si="47"/>
        <v>0.93880658736467681</v>
      </c>
    </row>
    <row r="244" spans="1:16" x14ac:dyDescent="0.2">
      <c r="A244" s="4">
        <v>4860</v>
      </c>
      <c r="B244" s="4">
        <v>127219</v>
      </c>
      <c r="C244" s="4">
        <v>39566</v>
      </c>
      <c r="D244" s="4">
        <v>56114</v>
      </c>
      <c r="E244" s="4">
        <f t="shared" si="36"/>
        <v>4860</v>
      </c>
      <c r="F244" s="4">
        <f t="shared" si="37"/>
        <v>23619600</v>
      </c>
      <c r="G244" s="4">
        <f t="shared" si="38"/>
        <v>59519.159308676681</v>
      </c>
      <c r="H244" s="2">
        <f t="shared" si="39"/>
        <v>26.176748971193415</v>
      </c>
      <c r="I244" s="2">
        <f t="shared" si="40"/>
        <v>5.3861623397517319E-3</v>
      </c>
      <c r="J244" s="2">
        <f t="shared" si="41"/>
        <v>2.1374461850211999</v>
      </c>
      <c r="K244" s="1">
        <f t="shared" si="42"/>
        <v>8.1411522633744848</v>
      </c>
      <c r="L244" s="1">
        <f t="shared" si="43"/>
        <v>1.6751342105708819E-3</v>
      </c>
      <c r="M244" s="1">
        <f t="shared" si="44"/>
        <v>0.66476073351110121</v>
      </c>
      <c r="N244" s="3">
        <f t="shared" si="45"/>
        <v>11.546090534979424</v>
      </c>
      <c r="O244" s="3">
        <f t="shared" si="46"/>
        <v>2.3757387932056427E-3</v>
      </c>
      <c r="P244" s="3">
        <f t="shared" si="47"/>
        <v>0.9427888540727376</v>
      </c>
    </row>
    <row r="245" spans="1:16" x14ac:dyDescent="0.2">
      <c r="A245" s="4">
        <v>4880</v>
      </c>
      <c r="B245" s="4">
        <v>128580</v>
      </c>
      <c r="C245" s="4">
        <v>40188</v>
      </c>
      <c r="D245" s="4">
        <v>56536</v>
      </c>
      <c r="E245" s="4">
        <f t="shared" si="36"/>
        <v>4880</v>
      </c>
      <c r="F245" s="4">
        <f t="shared" si="37"/>
        <v>23814400</v>
      </c>
      <c r="G245" s="4">
        <f t="shared" si="38"/>
        <v>59793.007310357221</v>
      </c>
      <c r="H245" s="2">
        <f t="shared" si="39"/>
        <v>26.348360655737704</v>
      </c>
      <c r="I245" s="2">
        <f t="shared" si="40"/>
        <v>5.3992542327331366E-3</v>
      </c>
      <c r="J245" s="2">
        <f t="shared" si="41"/>
        <v>2.1504186824489699</v>
      </c>
      <c r="K245" s="1">
        <f t="shared" si="42"/>
        <v>8.2352459016393436</v>
      </c>
      <c r="L245" s="1">
        <f t="shared" si="43"/>
        <v>1.6875503896801934E-3</v>
      </c>
      <c r="M245" s="1">
        <f t="shared" si="44"/>
        <v>0.67211872772016801</v>
      </c>
      <c r="N245" s="3">
        <f t="shared" si="45"/>
        <v>11.585245901639345</v>
      </c>
      <c r="O245" s="3">
        <f t="shared" si="46"/>
        <v>2.3740257995162593E-3</v>
      </c>
      <c r="P245" s="3">
        <f t="shared" si="47"/>
        <v>0.94552862522114611</v>
      </c>
    </row>
    <row r="246" spans="1:16" x14ac:dyDescent="0.2">
      <c r="A246" s="4">
        <v>4900</v>
      </c>
      <c r="B246" s="4">
        <v>129337</v>
      </c>
      <c r="C246" s="4">
        <v>40246</v>
      </c>
      <c r="D246" s="4">
        <v>56989</v>
      </c>
      <c r="E246" s="4">
        <f t="shared" si="36"/>
        <v>4900</v>
      </c>
      <c r="F246" s="4">
        <f t="shared" si="37"/>
        <v>24010000</v>
      </c>
      <c r="G246" s="4">
        <f t="shared" si="38"/>
        <v>60066.973566060682</v>
      </c>
      <c r="H246" s="2">
        <f t="shared" si="39"/>
        <v>26.395306122448979</v>
      </c>
      <c r="I246" s="2">
        <f t="shared" si="40"/>
        <v>5.3867971678467309E-3</v>
      </c>
      <c r="J246" s="2">
        <f t="shared" si="41"/>
        <v>2.153213193898595</v>
      </c>
      <c r="K246" s="1">
        <f t="shared" si="42"/>
        <v>8.2134693877551026</v>
      </c>
      <c r="L246" s="1">
        <f t="shared" si="43"/>
        <v>1.6762182423990003E-3</v>
      </c>
      <c r="M246" s="1">
        <f t="shared" si="44"/>
        <v>0.67001877422271161</v>
      </c>
      <c r="N246" s="3">
        <f t="shared" si="45"/>
        <v>11.630408163265306</v>
      </c>
      <c r="O246" s="3">
        <f t="shared" si="46"/>
        <v>2.3735526863806746E-3</v>
      </c>
      <c r="P246" s="3">
        <f t="shared" si="47"/>
        <v>0.94875763862689744</v>
      </c>
    </row>
    <row r="247" spans="1:16" x14ac:dyDescent="0.2">
      <c r="A247" s="4">
        <v>4920</v>
      </c>
      <c r="B247" s="4">
        <v>131228</v>
      </c>
      <c r="C247" s="4">
        <v>40933</v>
      </c>
      <c r="D247" s="4">
        <v>57473</v>
      </c>
      <c r="E247" s="4">
        <f t="shared" si="36"/>
        <v>4920</v>
      </c>
      <c r="F247" s="4">
        <f t="shared" si="37"/>
        <v>24206400</v>
      </c>
      <c r="G247" s="4">
        <f t="shared" si="38"/>
        <v>60341.057593114885</v>
      </c>
      <c r="H247" s="2">
        <f t="shared" si="39"/>
        <v>26.672357723577235</v>
      </c>
      <c r="I247" s="2">
        <f t="shared" si="40"/>
        <v>5.4212109194262679E-3</v>
      </c>
      <c r="J247" s="2">
        <f t="shared" si="41"/>
        <v>2.1747712956057561</v>
      </c>
      <c r="K247" s="1">
        <f t="shared" si="42"/>
        <v>8.3197154471544721</v>
      </c>
      <c r="L247" s="1">
        <f t="shared" si="43"/>
        <v>1.6909990746248925E-3</v>
      </c>
      <c r="M247" s="1">
        <f t="shared" si="44"/>
        <v>0.67836066573467868</v>
      </c>
      <c r="N247" s="3">
        <f t="shared" si="45"/>
        <v>11.681504065040651</v>
      </c>
      <c r="O247" s="3">
        <f t="shared" si="46"/>
        <v>2.3742894441139534E-3</v>
      </c>
      <c r="P247" s="3">
        <f t="shared" si="47"/>
        <v>0.95246921901080273</v>
      </c>
    </row>
    <row r="248" spans="1:16" x14ac:dyDescent="0.2">
      <c r="A248" s="4">
        <v>4940</v>
      </c>
      <c r="B248" s="4">
        <v>131568</v>
      </c>
      <c r="C248" s="4">
        <v>41410</v>
      </c>
      <c r="D248" s="4">
        <v>57950</v>
      </c>
      <c r="E248" s="4">
        <f t="shared" si="36"/>
        <v>4940</v>
      </c>
      <c r="F248" s="4">
        <f t="shared" si="37"/>
        <v>24403600</v>
      </c>
      <c r="G248" s="4">
        <f t="shared" si="38"/>
        <v>60615.258912771882</v>
      </c>
      <c r="H248" s="2">
        <f t="shared" si="39"/>
        <v>26.633198380566803</v>
      </c>
      <c r="I248" s="2">
        <f t="shared" si="40"/>
        <v>5.3913357045681787E-3</v>
      </c>
      <c r="J248" s="2">
        <f t="shared" si="41"/>
        <v>2.1705425722808895</v>
      </c>
      <c r="K248" s="1">
        <f t="shared" si="42"/>
        <v>8.3825910931174086</v>
      </c>
      <c r="L248" s="1">
        <f t="shared" si="43"/>
        <v>1.696880788080447E-3</v>
      </c>
      <c r="M248" s="1">
        <f t="shared" si="44"/>
        <v>0.68316131519937706</v>
      </c>
      <c r="N248" s="3">
        <f t="shared" si="45"/>
        <v>11.73076923076923</v>
      </c>
      <c r="O248" s="3">
        <f t="shared" si="46"/>
        <v>2.3746496418561194E-3</v>
      </c>
      <c r="P248" s="3">
        <f t="shared" si="47"/>
        <v>0.95602990137174348</v>
      </c>
    </row>
    <row r="249" spans="1:16" x14ac:dyDescent="0.2">
      <c r="A249" s="4">
        <v>4960</v>
      </c>
      <c r="B249" s="4">
        <v>131705</v>
      </c>
      <c r="C249" s="4">
        <v>40815</v>
      </c>
      <c r="D249" s="4">
        <v>58386</v>
      </c>
      <c r="E249" s="4">
        <f t="shared" si="36"/>
        <v>4960</v>
      </c>
      <c r="F249" s="4">
        <f t="shared" si="37"/>
        <v>24601600</v>
      </c>
      <c r="G249" s="4">
        <f t="shared" si="38"/>
        <v>60889.577050160224</v>
      </c>
      <c r="H249" s="2">
        <f t="shared" si="39"/>
        <v>26.55342741935484</v>
      </c>
      <c r="I249" s="2">
        <f t="shared" si="40"/>
        <v>5.3535135926118631E-3</v>
      </c>
      <c r="J249" s="2">
        <f t="shared" si="41"/>
        <v>2.1630138749609436</v>
      </c>
      <c r="K249" s="1">
        <f t="shared" si="42"/>
        <v>8.22883064516129</v>
      </c>
      <c r="L249" s="1">
        <f t="shared" si="43"/>
        <v>1.6590384365244538E-3</v>
      </c>
      <c r="M249" s="1">
        <f t="shared" si="44"/>
        <v>0.67031176725660313</v>
      </c>
      <c r="N249" s="3">
        <f t="shared" si="45"/>
        <v>11.771370967741936</v>
      </c>
      <c r="O249" s="3">
        <f t="shared" si="46"/>
        <v>2.3732602757544226E-3</v>
      </c>
      <c r="P249" s="3">
        <f t="shared" si="47"/>
        <v>0.95888332336258797</v>
      </c>
    </row>
    <row r="250" spans="1:16" x14ac:dyDescent="0.2">
      <c r="A250" s="4">
        <v>4980</v>
      </c>
      <c r="B250" s="4">
        <v>133774</v>
      </c>
      <c r="C250" s="4">
        <v>41555</v>
      </c>
      <c r="D250" s="4">
        <v>58882</v>
      </c>
      <c r="E250" s="4">
        <f t="shared" si="36"/>
        <v>4980</v>
      </c>
      <c r="F250" s="4">
        <f t="shared" si="37"/>
        <v>24800400</v>
      </c>
      <c r="G250" s="4">
        <f t="shared" si="38"/>
        <v>61164.01153423811</v>
      </c>
      <c r="H250" s="2">
        <f t="shared" si="39"/>
        <v>26.862248995983936</v>
      </c>
      <c r="I250" s="2">
        <f t="shared" si="40"/>
        <v>5.3940259028080195E-3</v>
      </c>
      <c r="J250" s="2">
        <f t="shared" si="41"/>
        <v>2.1871358114749651</v>
      </c>
      <c r="K250" s="1">
        <f t="shared" si="42"/>
        <v>8.3443775100401609</v>
      </c>
      <c r="L250" s="1">
        <f t="shared" si="43"/>
        <v>1.6755778132610765E-3</v>
      </c>
      <c r="M250" s="1">
        <f t="shared" si="44"/>
        <v>0.67940278862740278</v>
      </c>
      <c r="N250" s="3">
        <f t="shared" si="45"/>
        <v>11.823694779116465</v>
      </c>
      <c r="O250" s="3">
        <f t="shared" si="46"/>
        <v>2.3742358994209771E-3</v>
      </c>
      <c r="P250" s="3">
        <f t="shared" si="47"/>
        <v>0.96269028997614559</v>
      </c>
    </row>
    <row r="251" spans="1:16" x14ac:dyDescent="0.2">
      <c r="A251" s="4">
        <v>5000</v>
      </c>
      <c r="B251" s="4">
        <v>134378</v>
      </c>
      <c r="C251" s="4">
        <v>41709</v>
      </c>
      <c r="D251" s="4">
        <v>59367</v>
      </c>
      <c r="E251" s="4">
        <f t="shared" si="36"/>
        <v>5000</v>
      </c>
      <c r="F251" s="4">
        <f t="shared" si="37"/>
        <v>25000000</v>
      </c>
      <c r="G251" s="4">
        <f t="shared" si="38"/>
        <v>61438.561897747255</v>
      </c>
      <c r="H251" s="2">
        <f t="shared" si="39"/>
        <v>26.875599999999999</v>
      </c>
      <c r="I251" s="2">
        <f t="shared" si="40"/>
        <v>5.3751199999999997E-3</v>
      </c>
      <c r="J251" s="2">
        <f t="shared" si="41"/>
        <v>2.1871931218645142</v>
      </c>
      <c r="K251" s="1">
        <f t="shared" si="42"/>
        <v>8.3417999999999992</v>
      </c>
      <c r="L251" s="1">
        <f t="shared" si="43"/>
        <v>1.66836E-3</v>
      </c>
      <c r="M251" s="1">
        <f t="shared" si="44"/>
        <v>0.67887331199933776</v>
      </c>
      <c r="N251" s="3">
        <f t="shared" si="45"/>
        <v>11.8734</v>
      </c>
      <c r="O251" s="3">
        <f t="shared" si="46"/>
        <v>2.3746800000000001E-3</v>
      </c>
      <c r="P251" s="3">
        <f t="shared" si="47"/>
        <v>0.96628238302200209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Lab 3 comparison doc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2018-11-09T07:25:46Z</dcterms:created>
  <dcterms:modified xsi:type="dcterms:W3CDTF">2018-11-09T07:28:27Z</dcterms:modified>
</cp:coreProperties>
</file>